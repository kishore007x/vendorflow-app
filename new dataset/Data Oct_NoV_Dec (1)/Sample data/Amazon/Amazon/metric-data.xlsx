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sheets>
    <sheet name="metric-data" sheetId="1" r:id="rId1"/>
  </sheets>
</workbook>
</file>

<file path=xl/sharedStrings.xml><?xml version="1.0" encoding="utf-8"?>
<sst xmlns="http://schemas.openxmlformats.org/spreadsheetml/2006/main" count="25" uniqueCount="25">
  <si>
    <t>Product group</t>
  </si>
  <si>
    <t>ASIN</t>
  </si>
  <si>
    <t>Item name</t>
  </si>
  <si>
    <t>Average selling price (₹)</t>
  </si>
  <si>
    <t>Net ordered GMS  (₹)</t>
  </si>
  <si>
    <t>Sessions</t>
  </si>
  <si>
    <t>Page views</t>
  </si>
  <si>
    <t>Featured Offer rate</t>
  </si>
  <si>
    <t>Conversion rate (%)</t>
  </si>
  <si>
    <t>Brand name</t>
  </si>
  <si>
    <t>Overall star ratings</t>
  </si>
  <si>
    <t>Raw star ratings</t>
  </si>
  <si>
    <t>Sales from units shipped (₹)</t>
  </si>
  <si>
    <t>Units shipped</t>
  </si>
  <si>
    <t>Units refunded</t>
  </si>
  <si>
    <t>Promotion units ordered</t>
  </si>
  <si>
    <t>Refund rate (%)</t>
  </si>
  <si>
    <t>Promotion sales from units ordered (₹)</t>
  </si>
  <si>
    <t>Promotion discount amount (₹)</t>
  </si>
  <si>
    <t>Amount refunded (₹)</t>
  </si>
  <si>
    <t>Total</t>
  </si>
  <si>
    <t>Home</t>
  </si>
  <si>
    <t>GET IT</t>
  </si>
  <si>
    <t>Baby</t>
  </si>
  <si>
    <t>Furniture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</si>
</sst>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formatCode="[black] #,##0; [red](#,##0);;" numFmtId="164"/>
    <numFmt formatCode="[black] #,##0.##; [red](#,##0.##);;" numFmtId="165"/>
    <numFmt formatCode="[black] #,##0.00%; [red](#,##0.00%);;" numFmtId="166"/>
    <numFmt formatCode="yyyy-mm-dd" numFmtId="167"/>
  </numFmts>
  <fonts count="4">
    <font>
      <sz val="11"/>
      <color theme="1" rgb="FF000000"/>
      <name val="Calibri"/>
      <family val="2"/>
      <scheme val="minor"/>
    </font>
    <font>
      <sz val="11"/>
      <color rgb="FF000000"/>
      <name val="Calibri"/>
      <b/>
    </font>
    <font>
      <sz val="11"/>
      <color rgb="FF007587"/>
      <name val="Calibri"/>
      <u val="single"/>
    </font>
    <font>
      <sz val="11"/>
      <color rgb="FF000000"/>
      <name val="Calibri"/>
      <b/>
      <u val="none"/>
    </font>
  </fonts>
  <fills count="3">
    <fill>
      <patternFill patternType="none"/>
    </fill>
    <fill>
      <patternFill patternType="gray125"/>
    </fill>
    <fill>
      <patternFill patternType="solid">
        <fgColor rgb="FFf7f7f8"/>
      </patternFill>
    </fill>
  </fills>
  <borders count="2">
    <border>
      <left/>
      <right/>
      <top/>
      <bottom/>
      <diagonal/>
    </border>
    <border>
      <left>
        <color rgb="FF000000"/>
      </left>
      <right>
        <color rgb="FF000000"/>
      </right>
      <top>
        <color rgb="FF000000"/>
      </top>
      <bottom style="thin">
        <color rgb="FF000000"/>
      </bottom>
      <diagonal>
        <color rgb="FF000000"/>
      </diagonal>
    </border>
  </borders>
  <cellStyleXfs count="1">
    <xf borderId="0" fillId="0" fontId="0" numFmtId="0"/>
  </cellStyleXfs>
  <cellXfs count="19">
    <xf borderId="0" fillId="0" fontId="0" numFmtId="0" xfId="0"/>
    <xf borderId="0" fillId="0" fontId="0" numFmtId="0" xfId="0"/>
    <xf applyBorder="1" applyFill="1" borderId="1" fillId="2" applyFont="1" fontId="1" numFmtId="0" xfId="0"/>
    <xf applyBorder="1" applyFill="1" borderId="1" fillId="2" applyFont="1" fontId="1" numFmtId="0" xfId="0"/>
    <xf borderId="0" fillId="0" fontId="0" applyNumberFormat="1" numFmtId="164" xfId="0"/>
    <xf borderId="0" fillId="0" fontId="0" applyNumberFormat="1" numFmtId="165" xfId="0"/>
    <xf borderId="0" fillId="0" fontId="0" applyNumberFormat="1" numFmtId="166" xfId="0"/>
    <xf borderId="0" fillId="0" fontId="0" applyNumberFormat="1" numFmtId="167" xfId="0"/>
    <xf borderId="0" fillId="0" applyFont="1" fontId="2" numFmtId="0" xfId="0"/>
    <xf applyBorder="1" borderId="1" fillId="0" applyFont="1" fontId="3" numFmtId="0" xfId="0"/>
    <xf applyBorder="1" borderId="1" fillId="0" applyFont="1" fontId="3" numFmtId="0" xfId="0"/>
    <xf applyBorder="1" borderId="1" fillId="0" applyFont="1" fontId="3" numFmtId="0" xfId="0"/>
    <xf applyBorder="1" borderId="1" fillId="0" applyFont="1" fontId="3" applyNumberFormat="1" numFmtId="165" xfId="0"/>
    <xf applyBorder="1" borderId="1" fillId="0" applyFont="1" fontId="3" applyNumberFormat="1" numFmtId="164" xfId="0"/>
    <xf applyBorder="1" borderId="1" fillId="0" applyFont="1" fontId="3" applyNumberFormat="1" numFmtId="166" xfId="0"/>
    <xf borderId="0" fillId="0" applyFont="1" fontId="2" numFmtId="0" xfId="0"/>
    <xf borderId="0" fillId="0" fontId="0" applyNumberFormat="1" numFmtId="165" xfId="0"/>
    <xf borderId="0" fillId="0" fontId="0" applyNumberFormat="1" numFmtId="164" xfId="0"/>
    <xf borderId="0" fillId="0" fontId="0" applyNumberFormat="1" numFmtId="166" xfId="0"/>
  </cellXfs>
  <cellStyles count="1">
    <cellStyle builtinId="0" name="Normal" xfId="0"/>
  </cellStyles>
  <tableStyles count="0" defaultPivotStyle="PivotStyleLight16" defaultTableStyle="TableStyleMedium2"/>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satMod val="105000"/>
                <a:lumMod val="110000"/>
                <a:tint val="67000"/>
              </a:schemeClr>
            </a:gs>
            <a:gs pos="50000">
              <a:schemeClr val="phClr">
                <a:satMod val="103000"/>
                <a:lumMod val="105000"/>
                <a:tint val="73000"/>
              </a:schemeClr>
            </a:gs>
            <a:gs pos="100000">
              <a:schemeClr val="phClr">
                <a:satMod val="109000"/>
                <a:lumMod val="105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satMod val="120000"/>
                <a:lumMod val="99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satMod val="150000"/>
                <a:lumMod val="102000"/>
                <a:tint val="93000"/>
                <a:shade val="98000"/>
              </a:schemeClr>
            </a:gs>
            <a:gs pos="50000">
              <a:schemeClr val="phClr">
                <a:satMod val="130000"/>
                <a:lumMod val="103000"/>
                <a:tint val="98000"/>
                <a:shade val="90000"/>
              </a:schemeClr>
            </a:gs>
            <a:gs pos="100000">
              <a:schemeClr val="phClr">
                <a:satMod val="120000"/>
                <a:shade val="63000"/>
              </a:schemeClr>
            </a:gs>
          </a:gsLst>
          <a:lin ang="5400000" scaled="0"/>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sheetPr>
  <sheetFormatPr baseColWidth="10" defaultRowHeight="16"/>
  <cols>
    <col min="1" max="1" width="28" hidden="0" bestFit="0" customWidth="1"/>
    <col min="2" max="2" width="50" hidden="0" bestFit="0" customWidth="1"/>
    <col min="3" max="3" width="50" hidden="0" bestFit="0" customWidth="1"/>
    <col min="4" max="4" width="28" hidden="0" bestFit="0" customWidth="1"/>
    <col min="5" max="5" width="28" hidden="0" bestFit="0" customWidth="1"/>
    <col min="6" max="6" width="28" hidden="0" bestFit="0" customWidth="1"/>
    <col min="7" max="7" width="28" hidden="0" bestFit="0" customWidth="1"/>
    <col min="8" max="8" width="28" hidden="0" bestFit="0" customWidth="1"/>
    <col min="9" max="9" width="28" hidden="0" bestFit="0" customWidth="1"/>
    <col min="10" max="10" width="28" hidden="0" bestFit="0" customWidth="1"/>
    <col min="11" max="11" width="28" hidden="0" bestFit="0" customWidth="1"/>
    <col min="12" max="12" width="28" hidden="0" bestFit="0" customWidth="1"/>
    <col min="13" max="13" width="28" hidden="0" bestFit="0" customWidth="1"/>
    <col min="14" max="14" width="28" hidden="0" bestFit="0" customWidth="1"/>
    <col min="15" max="15" width="28" hidden="0" bestFit="0" customWidth="1"/>
    <col min="16" max="16" width="28" hidden="0" bestFit="0" customWidth="1"/>
    <col min="17" max="17" width="28" hidden="0" bestFit="0" customWidth="1"/>
    <col min="18" max="18" width="28" hidden="0" bestFit="0" customWidth="1"/>
    <col min="19" max="19" width="28" hidden="0" bestFit="0" customWidth="1"/>
    <col min="20" max="20" width="28" hidden="0" bestFit="0" customWidth="1"/>
  </cols>
  <sheetData>
    <row r="1" hidden="0" ht="15" customHeight="1" spans="1:1">
      <c r="A1" t="s" s="3">
        <v>0</v>
      </c>
      <c r="B1" t="s" s="3">
        <v>1</v>
      </c>
      <c r="C1" t="s" s="3">
        <v>2</v>
      </c>
      <c r="D1" t="s" s="3">
        <v>3</v>
      </c>
      <c r="E1" t="s" s="3">
        <v>4</v>
      </c>
      <c r="F1" t="s" s="3">
        <v>5</v>
      </c>
      <c r="G1" t="s" s="3">
        <v>6</v>
      </c>
      <c r="H1" t="s" s="3">
        <v>7</v>
      </c>
      <c r="I1" t="s" s="3">
        <v>8</v>
      </c>
      <c r="J1" t="s" s="3">
        <v>9</v>
      </c>
      <c r="K1" t="s" s="3">
        <v>10</v>
      </c>
      <c r="L1" t="s" s="3">
        <v>11</v>
      </c>
      <c r="M1" t="s" s="3">
        <v>12</v>
      </c>
      <c r="N1" t="s" s="3">
        <v>13</v>
      </c>
      <c r="O1" t="s" s="3">
        <v>14</v>
      </c>
      <c r="P1" t="s" s="3">
        <v>15</v>
      </c>
      <c r="Q1" t="s" s="3">
        <v>16</v>
      </c>
      <c r="R1" t="s" s="3">
        <v>17</v>
      </c>
      <c r="S1" t="s" s="3">
        <v>18</v>
      </c>
      <c r="T1" t="s" s="3">
        <v>19</v>
      </c>
    </row>
    <row r="2" hidden="0" ht="15" customHeight="1" spans="1:1">
      <c r="A2" t="s" s="10">
        <v>20</v>
      </c>
      <c r="B2" t="s" s="11">
        <v/>
      </c>
      <c r="C2" t="s" s="11">
        <v/>
      </c>
      <c r="D2" t="n" s="12">
        <v>613.81</v>
      </c>
      <c r="E2" t="n" s="12">
        <v>386387</v>
      </c>
      <c r="F2" t="n" s="13">
        <v>18459</v>
      </c>
      <c r="G2" t="n" s="13">
        <v>25538</v>
      </c>
      <c r="H2" t="n" s="13">
        <v>1</v>
      </c>
      <c r="I2" t="n" s="14">
        <v>0.0281</v>
      </c>
      <c r="J2" t="s" s="10">
        <v/>
      </c>
      <c r="K2" t="n" s="13">
        <v>5</v>
      </c>
      <c r="L2" t="n" s="13">
        <v>5</v>
      </c>
      <c r="M2" t="n" s="12">
        <v>401476.98</v>
      </c>
      <c r="N2" t="n" s="13">
        <v>688</v>
      </c>
      <c r="O2" t="n" s="13">
        <v>127</v>
      </c>
      <c r="P2" t="n" s="13">
        <v>0</v>
      </c>
      <c r="Q2" t="n" s="14">
        <v>0.1936</v>
      </c>
      <c r="R2" t="n" s="12">
        <v>0</v>
      </c>
      <c r="S2" t="n" s="12">
        <v>0</v>
      </c>
      <c r="T2" t="n" s="12">
        <v>79746.7</v>
      </c>
    </row>
    <row r="3" hidden="0" ht="15" customHeight="1" spans="1:1">
      <c r="A3" t="s">
        <v>21</v>
      </c>
      <c r="B3" t="str" s="15">
        <f>HYPERLINK("https://www.amazon.in/dp/B07P3JTBCL", "B07P3JTBCL")</f>
      </c>
      <c r="C3" t="str" s="15">
        <f>HYPERLINK("https://www.amazon.in/dp/GET IT Maternity Pilow | Pregnancy Pillow | Premium 3 in 1 Multi Usage as Breastfeeding | Dismantle Model | Back Pain | Leg pelivs Support | 6 Months Warranty (Navy Blue Print)", "GET IT Maternity Pilow | Pregnancy Pillow | Premium 3 in 1 Multi Usage as Breastfeeding | Dismantle Model | Back Pain | Leg pelivs Support | 6 Months Warranty (Navy Blue Print)")</f>
      </c>
      <c r="D3" t="n" s="16">
        <v>1999</v>
      </c>
      <c r="E3" t="n" s="16">
        <v>7615.22</v>
      </c>
      <c r="F3" t="n" s="17">
        <v>66</v>
      </c>
      <c r="G3" t="n" s="17">
        <v>93</v>
      </c>
      <c r="H3" t="n" s="17">
        <v>1</v>
      </c>
      <c r="I3" t="n" s="18">
        <v>0.0482</v>
      </c>
      <c r="J3" t="s">
        <v>22</v>
      </c>
      <c r="K3" t="n" s="17">
        <v>3</v>
      </c>
      <c r="L3" t="n" s="17">
        <v>3.16</v>
      </c>
      <c r="M3" t="n" s="16">
        <v>7615.22</v>
      </c>
      <c r="N3" t="n" s="17">
        <v>4</v>
      </c>
      <c r="O3" t="n" s="17">
        <v>2</v>
      </c>
      <c r="P3" t="n" s="17">
        <v>0</v>
      </c>
      <c r="Q3" t="n" s="18">
        <v>0.5</v>
      </c>
      <c r="R3" t="n" s="16">
        <v>0</v>
      </c>
      <c r="S3" t="n" s="16">
        <v>0</v>
      </c>
      <c r="T3" t="n" s="16">
        <v>3807.62</v>
      </c>
    </row>
    <row r="4" hidden="0" ht="15" customHeight="1" spans="1:1">
      <c r="A4" t="s">
        <v>23</v>
      </c>
      <c r="B4" t="str" s="15">
        <f>HYPERLINK("https://www.amazon.in/dp/B07NLGFCSM", "B07NLGFCSM")</f>
      </c>
      <c r="C4" t="str" s="15">
        <f>HYPERLINK("https://www.amazon.in/dp/Get It Long Body Rectangular Microfiber Pillow (Pink, 20"x72" inches (i.e 50x180 Cms) [6 ft Long])", "Get It Long Body Rectangular Microfiber Pillow (Pink, 20"x72" inches (i.e 50x180 Cms) [6 ft Long])")</f>
      </c>
      <c r="D4" t="n" s="16">
        <v>1899</v>
      </c>
      <c r="E4" t="n" s="16">
        <v>1855.24</v>
      </c>
      <c r="F4" t="n" s="17">
        <v>37</v>
      </c>
      <c r="G4" t="n" s="17">
        <v>53</v>
      </c>
      <c r="H4" t="n" s="17">
        <v>1</v>
      </c>
      <c r="I4" t="n" s="18">
        <v>0.02</v>
      </c>
      <c r="J4" t="s">
        <v>22</v>
      </c>
      <c r="K4" t="n" s="17">
        <v>5</v>
      </c>
      <c r="L4" t="n" s="17">
        <v>5</v>
      </c>
      <c r="M4" t="n" s="16">
        <v>1808.58</v>
      </c>
      <c r="N4" t="n" s="17">
        <v>1</v>
      </c>
      <c r="O4" t="n" s="17">
        <v>1</v>
      </c>
      <c r="P4" t="n" s="17">
        <v>0</v>
      </c>
      <c r="Q4" t="n" s="18">
        <v>1</v>
      </c>
      <c r="R4" t="n" s="16">
        <v>0</v>
      </c>
      <c r="S4" t="n" s="16">
        <v>0</v>
      </c>
      <c r="T4" t="n" s="16">
        <v>1808.58</v>
      </c>
    </row>
    <row r="5" hidden="0" ht="15" customHeight="1" spans="1:1">
      <c r="A5" t="s">
        <v>21</v>
      </c>
      <c r="B5" t="str" s="15">
        <f>HYPERLINK("https://www.amazon.in/dp/B09XJ247R1", "B09XJ247R1")</f>
      </c>
      <c r="C5" t="str" s="15">
        <f>HYPERLINK("https://www.amazon.in/dp/GET IT Wedge Orthopedic Pillow | Removable Cover Zip |Acid Reflux Sleeping,Leg Elevator,Back &amp; Neck Pain Relief, Pregnancy Maternity, Anti Snoring -Navy Blue", "GET IT Wedge Orthopedic Pillow | Removable Cover Zip |Acid Reflux Sleeping,Leg Elevator,Back &amp; Neck Pain Relief, Pregnancy Maternity, Anti Snoring -Navy Blue")</f>
      </c>
      <c r="D5" t="n" s="16">
        <v>1699</v>
      </c>
      <c r="E5" t="n" s="16">
        <v>1618.1</v>
      </c>
      <c r="F5" t="n" s="17">
        <v>9</v>
      </c>
      <c r="G5" t="n" s="17">
        <v>15</v>
      </c>
      <c r="H5" t="n" s="17">
        <v>1</v>
      </c>
      <c r="I5" t="n" s="18">
        <v>0.07139999999999999</v>
      </c>
      <c r="J5" t="s">
        <v>22</v>
      </c>
      <c r="K5" t="n" s="17">
        <v>4</v>
      </c>
      <c r="L5" t="n" s="17">
        <v>3.91</v>
      </c>
      <c r="M5" t="n" s="16">
        <v>1618.1</v>
      </c>
      <c r="N5" t="n" s="17">
        <v>1</v>
      </c>
      <c r="O5" t="n" s="17">
        <v>0</v>
      </c>
      <c r="P5" t="n" s="17">
        <v>0</v>
      </c>
      <c r="Q5" t="n" s="18">
        <v>0</v>
      </c>
      <c r="R5" t="n" s="16">
        <v>0</v>
      </c>
      <c r="S5" t="n" s="16">
        <v>0</v>
      </c>
      <c r="T5" t="n" s="16">
        <v>0</v>
      </c>
    </row>
    <row r="6" hidden="0" ht="15" customHeight="1" spans="1:1">
      <c r="A6" t="s">
        <v>23</v>
      </c>
      <c r="B6" t="str" s="15">
        <f>HYPERLINK("https://www.amazon.in/dp/B073F79LQF", "B073F79LQF")</f>
      </c>
      <c r="C6" t="str" s="15">
        <f>HYPERLINK("https://www.amazon.in/dp/GET IT Double Wedge Pregnancy Pillow (Purple)", "GET IT Double Wedge Pregnancy Pillow (Purple)")</f>
      </c>
      <c r="D6" t="n" s="16">
        <v>1099</v>
      </c>
      <c r="E6" t="n" s="16">
        <v>1046.67</v>
      </c>
      <c r="F6" t="n" s="17">
        <v>28</v>
      </c>
      <c r="G6" t="n" s="17">
        <v>35</v>
      </c>
      <c r="H6" t="n" s="17">
        <v>1</v>
      </c>
      <c r="I6" t="n" s="18">
        <v>0.031200000000000002</v>
      </c>
      <c r="J6" t="s">
        <v>22</v>
      </c>
      <c r="K6" t="n" s="17">
        <v>3</v>
      </c>
      <c r="L6" t="n" s="17">
        <v>2.9</v>
      </c>
      <c r="M6" t="n" s="16">
        <v>1046.67</v>
      </c>
      <c r="N6" t="n" s="17">
        <v>1</v>
      </c>
      <c r="O6" t="n" s="17">
        <v>0</v>
      </c>
      <c r="P6" t="n" s="17">
        <v>0</v>
      </c>
      <c r="Q6" t="n" s="18">
        <v>0</v>
      </c>
      <c r="R6" t="n" s="16">
        <v>0</v>
      </c>
      <c r="S6" t="n" s="16">
        <v>0</v>
      </c>
      <c r="T6" t="n" s="16">
        <v>0</v>
      </c>
    </row>
    <row r="7" hidden="0" ht="15" customHeight="1" spans="1:1">
      <c r="A7" t="s">
        <v>23</v>
      </c>
      <c r="B7" t="str" s="15">
        <f>HYPERLINK("https://www.amazon.in/dp/B0C8K3Y73B", "B0C8K3Y73B")</f>
      </c>
      <c r="C7" t="str" s="15">
        <f>HYPERLINK("https://www.amazon.in/dp/GET IT Premium 5 in 1 Cotton Baby Breast Feeding Pillow with Adjustable Strap| Nursing Pillow for Breastfeeding, Baby Support &amp; Playtime | Washable Premium Cotton Cover with Zip -(Micky-White)", "GET IT Premium 5 in 1 Cotton Baby Breast Feeding Pillow with Adjustable Strap| Nursing Pillow for Breastfeeding, Baby Support &amp; Playtime | Washable Premium Cotton Cover with Zip -(Micky-White)")</f>
      </c>
      <c r="D7" t="n" s="16">
        <v>998</v>
      </c>
      <c r="E7" t="n" s="16">
        <v>4752.4</v>
      </c>
      <c r="F7" t="n" s="17">
        <v>166</v>
      </c>
      <c r="G7" t="n" s="17">
        <v>205</v>
      </c>
      <c r="H7" t="n" s="17">
        <v>0.96</v>
      </c>
      <c r="I7" t="n" s="18">
        <v>0.0269</v>
      </c>
      <c r="J7" t="s">
        <v>22</v>
      </c>
      <c r="K7" t="n" s="17">
        <v>4</v>
      </c>
      <c r="L7" t="n" s="17">
        <v>4.23</v>
      </c>
      <c r="M7" t="n" s="16">
        <v>4752.4</v>
      </c>
      <c r="N7" t="n" s="17">
        <v>5</v>
      </c>
      <c r="O7" t="n" s="17">
        <v>4</v>
      </c>
      <c r="P7" t="n" s="17">
        <v>0</v>
      </c>
      <c r="Q7" t="n" s="18">
        <v>0.8</v>
      </c>
      <c r="R7" t="n" s="16">
        <v>0</v>
      </c>
      <c r="S7" t="n" s="16">
        <v>0</v>
      </c>
      <c r="T7" t="n" s="16">
        <v>3801.92</v>
      </c>
    </row>
    <row r="8" hidden="0" ht="15" customHeight="1" spans="1:1">
      <c r="A8" t="s">
        <v>23</v>
      </c>
      <c r="B8" t="str" s="15">
        <f>HYPERLINK("https://www.amazon.in/dp/B0C8KRVBJ2", "B0C8KRVBJ2")</f>
      </c>
      <c r="C8" t="str" s="15">
        <f>HYPERLINK("https://www.amazon.in/dp/GET IT Premium 2 in 1 Dry Sheet Cotton Baby Breastfeeding Pillow with Adjustable Strap | Nursing Pillow, Baby Support &amp; Playtime | Washable Cover with Zip -(Grey)", "GET IT Premium 2 in 1 Dry Sheet Cotton Baby Breastfeeding Pillow with Adjustable Strap | Nursing Pillow, Baby Support &amp; Playtime | Washable Cover with Zip -(Grey)")</f>
      </c>
      <c r="D8" t="n" s="16">
        <v>998</v>
      </c>
      <c r="E8" t="n" s="16">
        <v>7680.04</v>
      </c>
      <c r="F8" t="n" s="17">
        <v>251</v>
      </c>
      <c r="G8" t="n" s="17">
        <v>300</v>
      </c>
      <c r="H8" t="n" s="17">
        <v>1</v>
      </c>
      <c r="I8" t="n" s="18">
        <v>0.0281</v>
      </c>
      <c r="J8" t="s">
        <v>22</v>
      </c>
      <c r="K8" t="n" s="17">
        <v>4</v>
      </c>
      <c r="L8" t="n" s="17">
        <v>4.23</v>
      </c>
      <c r="M8" t="n" s="16">
        <v>7603.84</v>
      </c>
      <c r="N8" t="n" s="17">
        <v>8</v>
      </c>
      <c r="O8" t="n" s="17">
        <v>3</v>
      </c>
      <c r="P8" t="n" s="17">
        <v>0</v>
      </c>
      <c r="Q8" t="n" s="18">
        <v>0.375</v>
      </c>
      <c r="R8" t="n" s="16">
        <v>0</v>
      </c>
      <c r="S8" t="n" s="16">
        <v>0</v>
      </c>
      <c r="T8" t="n" s="16">
        <v>2851.44</v>
      </c>
    </row>
    <row r="9" hidden="0" ht="15" customHeight="1" spans="1:1">
      <c r="A9" t="s">
        <v>23</v>
      </c>
      <c r="B9" t="str" s="15">
        <f>HYPERLINK("https://www.amazon.in/dp/B0D58LNSH1", "B0D58LNSH1")</f>
      </c>
      <c r="C9" t="str" s="15">
        <f>HYPERLINK("https://www.amazon.in/dp/GET IT Premium 2 in 1 Baby Breast Feeding Pillow with Detachable Cover | Newborn Nursing Pillow with Zip Buckle Adjustment | Infant Support for Baby and Mom Breastfeeding-V Model Navy Blue Print", "GET IT Premium 2 in 1 Baby Breast Feeding Pillow with Detachable Cover | Newborn Nursing Pillow with Zip Buckle Adjustment | Infant Support for Baby and Mom Breastfeeding-V Model Navy Blue Print")</f>
      </c>
      <c r="D9" t="n" s="16">
        <v>998</v>
      </c>
      <c r="E9" t="n" s="16">
        <v>1897.46</v>
      </c>
      <c r="F9" t="n" s="17">
        <v>91</v>
      </c>
      <c r="G9" t="n" s="17">
        <v>100</v>
      </c>
      <c r="H9" t="n" s="17">
        <v>1</v>
      </c>
      <c r="I9" t="n" s="18">
        <v>0.021099999999999997</v>
      </c>
      <c r="J9" t="s">
        <v>22</v>
      </c>
      <c r="K9" t="n" s="17">
        <v>4</v>
      </c>
      <c r="L9" t="n" s="17">
        <v>4.23</v>
      </c>
      <c r="M9" t="n" s="16">
        <v>1900.96</v>
      </c>
      <c r="N9" t="n" s="17">
        <v>2</v>
      </c>
      <c r="O9" t="n" s="17">
        <v>0</v>
      </c>
      <c r="P9" t="n" s="17">
        <v>0</v>
      </c>
      <c r="Q9" t="n" s="18">
        <v>0</v>
      </c>
      <c r="R9" t="n" s="16">
        <v>0</v>
      </c>
      <c r="S9" t="n" s="16">
        <v>0</v>
      </c>
      <c r="T9" t="n" s="16">
        <v>0</v>
      </c>
    </row>
    <row r="10" hidden="0" ht="15" customHeight="1" spans="1:1">
      <c r="A10" t="s">
        <v>23</v>
      </c>
      <c r="B10" t="str" s="15">
        <f>HYPERLINK("https://www.amazon.in/dp/B0D58KHFXT", "B0D58KHFXT")</f>
      </c>
      <c r="C10" t="str" s="15">
        <f>HYPERLINK("https://www.amazon.in/dp/GET IT Premium Breast Feeding Foam Pillow with Detachable Cover | Newborn Nursing |Zip Buckle Adjustment | Support Baby Mom | Upto 2 Years (Navy Blue Print, Foam Extra Large, Polyurethane (PU))", "GET IT Premium Breast Feeding Foam Pillow with Detachable Cover | Newborn Nursing |Zip Buckle Adjustment | Support Baby Mom | Upto 2 Years (Navy Blue Print, Foam Extra Large, Polyurethane (PU))")</f>
      </c>
      <c r="D10" t="n" s="16">
        <v>998</v>
      </c>
      <c r="E10" t="n" s="16">
        <v>4752.4</v>
      </c>
      <c r="F10" t="n" s="17">
        <v>52</v>
      </c>
      <c r="G10" t="n" s="17">
        <v>82</v>
      </c>
      <c r="H10" t="n" s="17">
        <v>1</v>
      </c>
      <c r="I10" t="n" s="18">
        <v>0.06849999999999999</v>
      </c>
      <c r="J10" t="s">
        <v>22</v>
      </c>
      <c r="K10" t="n" s="17">
        <v>4</v>
      </c>
      <c r="L10" t="n" s="17">
        <v>3.85</v>
      </c>
      <c r="M10" t="n" s="16">
        <v>4752.4</v>
      </c>
      <c r="N10" t="n" s="17">
        <v>5</v>
      </c>
      <c r="O10" t="n" s="17">
        <v>1</v>
      </c>
      <c r="P10" t="n" s="17">
        <v>0</v>
      </c>
      <c r="Q10" t="n" s="18">
        <v>0.2</v>
      </c>
      <c r="R10" t="n" s="16">
        <v>0</v>
      </c>
      <c r="S10" t="n" s="16">
        <v>0</v>
      </c>
      <c r="T10" t="n" s="16">
        <v>950.48</v>
      </c>
    </row>
    <row r="11" hidden="0" ht="15" customHeight="1" spans="1:1">
      <c r="A11" t="s">
        <v>23</v>
      </c>
      <c r="B11" t="str" s="15">
        <f>HYPERLINK("https://www.amazon.in/dp/B0D58K92GN", "B0D58K92GN")</f>
      </c>
      <c r="C11" t="str" s="15">
        <f>HYPERLINK("https://www.amazon.in/dp/GET IT Premium Baby Breast Feeding Pillow with Detachable Cover | Newborn Nursing Pillow with Zip Buckle Adjustment | Infant Support for Baby and Mom Breastfeeding-Navy Blue Print", "GET IT Premium Baby Breast Feeding Pillow with Detachable Cover | Newborn Nursing Pillow with Zip Buckle Adjustment | Infant Support for Baby and Mom Breastfeeding-Navy Blue Print")</f>
      </c>
      <c r="D11" t="n" s="16">
        <v>993.01</v>
      </c>
      <c r="E11" t="n" s="16">
        <v>3782.9</v>
      </c>
      <c r="F11" t="n" s="17">
        <v>130</v>
      </c>
      <c r="G11" t="n" s="17">
        <v>154</v>
      </c>
      <c r="H11" t="n" s="17">
        <v>0.99</v>
      </c>
      <c r="I11" t="n" s="18">
        <v>0.0274</v>
      </c>
      <c r="J11" t="s">
        <v>22</v>
      </c>
      <c r="K11" t="n" s="17">
        <v>4</v>
      </c>
      <c r="L11" t="n" s="17">
        <v>4.23</v>
      </c>
      <c r="M11" t="n" s="16">
        <v>5683.86</v>
      </c>
      <c r="N11" t="n" s="17">
        <v>6</v>
      </c>
      <c r="O11" t="n" s="17">
        <v>4</v>
      </c>
      <c r="P11" t="n" s="17">
        <v>0</v>
      </c>
      <c r="Q11" t="n" s="18">
        <v>1</v>
      </c>
      <c r="R11" t="n" s="16">
        <v>0</v>
      </c>
      <c r="S11" t="n" s="16">
        <v>0</v>
      </c>
      <c r="T11" t="n" s="16">
        <v>3782.9</v>
      </c>
    </row>
    <row r="12" hidden="0" ht="15" customHeight="1" spans="1:1">
      <c r="A12" t="s">
        <v>23</v>
      </c>
      <c r="B12" t="str" s="15">
        <f>HYPERLINK("https://www.amazon.in/dp/B01LCM4KHS", "B01LCM4KHS")</f>
      </c>
      <c r="C12" t="str" s="15">
        <f>HYPERLINK("https://www.amazon.in/dp/Soft Foam Breast Feeding Pillow and Nursing Pillow (Red)", "Soft Foam Breast Feeding Pillow and Nursing Pillow (Red)")</f>
      </c>
      <c r="D12" t="n" s="16">
        <v>899</v>
      </c>
      <c r="E12" t="n" s="16">
        <v>856.2</v>
      </c>
      <c r="F12" t="n" s="17">
        <v>12</v>
      </c>
      <c r="G12" t="n" s="17">
        <v>16</v>
      </c>
      <c r="H12" t="n" s="17">
        <v>1</v>
      </c>
      <c r="I12" t="n" s="18">
        <v>0.07139999999999999</v>
      </c>
      <c r="J12" t="s">
        <v>22</v>
      </c>
      <c r="K12" t="n" s="17">
        <v>4</v>
      </c>
      <c r="L12" t="n" s="17">
        <v>3.85</v>
      </c>
      <c r="M12" t="n" s="16">
        <v>856.2</v>
      </c>
      <c r="N12" t="n" s="17">
        <v>1</v>
      </c>
      <c r="O12" t="n" s="17">
        <v>0</v>
      </c>
      <c r="P12" t="n" s="17">
        <v>0</v>
      </c>
      <c r="Q12" t="n" s="18">
        <v>0</v>
      </c>
      <c r="R12" t="n" s="16">
        <v>0</v>
      </c>
      <c r="S12" t="n" s="16">
        <v>0</v>
      </c>
      <c r="T12" t="n" s="16">
        <v>0</v>
      </c>
    </row>
    <row r="13" hidden="0" ht="15" customHeight="1" spans="1:1">
      <c r="A13" t="s">
        <v>23</v>
      </c>
      <c r="B13" t="str" s="15">
        <f>HYPERLINK("https://www.amazon.in/dp/B0C8PTH3QF", "B0C8PTH3QF")</f>
      </c>
      <c r="C13" t="str" s="15">
        <f>HYPERLINK("https://www.amazon.in/dp/GET IT Durable Window Cradle Metal Hanger Cot for Baby, Multi Use Kids Upto 3 Years | 20KG - Babies | 100% Baby Safety Gurantee - Blue", "GET IT Durable Window Cradle Metal Hanger Cot for Baby, Multi Use Kids Upto 3 Years | 20KG - Babies | 100% Baby Safety Gurantee - Blue")</f>
      </c>
      <c r="D13" t="n" s="16">
        <v>683.16</v>
      </c>
      <c r="E13" t="n" s="16">
        <v>93697.22</v>
      </c>
      <c r="F13" t="n" s="17">
        <v>4977</v>
      </c>
      <c r="G13" t="n" s="17">
        <v>7104</v>
      </c>
      <c r="H13" t="n" s="17">
        <v>1</v>
      </c>
      <c r="I13" t="n" s="18">
        <v>0.0219</v>
      </c>
      <c r="J13" t="s">
        <v>22</v>
      </c>
      <c r="K13" t="n" s="17">
        <v>4</v>
      </c>
      <c r="L13" t="n" s="17">
        <v>4.19</v>
      </c>
      <c r="M13" t="n" s="16">
        <v>91045.53</v>
      </c>
      <c r="N13" t="n" s="17">
        <v>140</v>
      </c>
      <c r="O13" t="n" s="17">
        <v>11</v>
      </c>
      <c r="P13" t="n" s="17">
        <v>0</v>
      </c>
      <c r="Q13" t="n" s="18">
        <v>0.07690000000000001</v>
      </c>
      <c r="R13" t="n" s="16">
        <v>0</v>
      </c>
      <c r="S13" t="n" s="16">
        <v>0</v>
      </c>
      <c r="T13" t="n" s="16">
        <v>7312.36</v>
      </c>
    </row>
    <row r="14" hidden="0" ht="15" customHeight="1" spans="1:1">
      <c r="A14" t="s">
        <v>23</v>
      </c>
      <c r="B14" t="str" s="15">
        <f>HYPERLINK("https://www.amazon.in/dp/B0C8PVTTRR", "B0C8PVTTRR")</f>
      </c>
      <c r="C14" t="str" s="15">
        <f>HYPERLINK("https://www.amazon.in/dp/GET IT New Born Baby Cradle Metal Hanger Cradle for Baby,Kids Window Cradle Metal Hanger for Baby - Babies -Pink", "GET IT New Born Baby Cradle Metal Hanger Cradle for Baby,Kids Window Cradle Metal Hanger for Baby - Babies -Pink")</f>
      </c>
      <c r="D14" t="n" s="16">
        <v>657.82</v>
      </c>
      <c r="E14" t="n" s="16">
        <v>77376.7</v>
      </c>
      <c r="F14" t="n" s="17">
        <v>4696</v>
      </c>
      <c r="G14" t="n" s="17">
        <v>6701</v>
      </c>
      <c r="H14" t="n" s="17">
        <v>1</v>
      </c>
      <c r="I14" t="n" s="18">
        <v>0.02</v>
      </c>
      <c r="J14" t="s">
        <v>22</v>
      </c>
      <c r="K14" t="n" s="17">
        <v>4</v>
      </c>
      <c r="L14" t="n" s="17">
        <v>4.19</v>
      </c>
      <c r="M14" t="n" s="16">
        <v>85036.1</v>
      </c>
      <c r="N14" t="n" s="17">
        <v>135</v>
      </c>
      <c r="O14" t="n" s="17">
        <v>30</v>
      </c>
      <c r="P14" t="n" s="17">
        <v>0</v>
      </c>
      <c r="Q14" t="n" s="18">
        <v>0.2439</v>
      </c>
      <c r="R14" t="n" s="16">
        <v>0</v>
      </c>
      <c r="S14" t="n" s="16">
        <v>0</v>
      </c>
      <c r="T14" t="n" s="16">
        <v>19942.8</v>
      </c>
    </row>
    <row r="15" hidden="0" ht="15" customHeight="1" spans="1:1">
      <c r="A15" t="s">
        <v>21</v>
      </c>
      <c r="B15" t="str" s="15">
        <f>HYPERLINK("https://www.amazon.in/dp/B073F8VKH9", "B073F8VKH9")</f>
      </c>
      <c r="C15" t="str" s="15">
        <f>HYPERLINK("https://www.amazon.in/dp/GET IT Multi Use Wedge Pillow for Pregnancy Women and New Born Baby | Lower Back-Pain Relief |Knee Support Between Legs | Anti Vomiting and Milk Spitting for New Born Baby (Purple)", "GET IT Multi Use Wedge Pillow for Pregnancy Women and New Born Baby | Lower Back-Pain Relief |Knee Support Between Legs | Anti Vomiting and Milk Spitting for New Born Baby (Purple)")</f>
      </c>
      <c r="D15" t="n" s="16">
        <v>599</v>
      </c>
      <c r="E15" t="n" s="16">
        <v>570.48</v>
      </c>
      <c r="F15" t="n" s="17">
        <v>91</v>
      </c>
      <c r="G15" t="n" s="17">
        <v>103</v>
      </c>
      <c r="H15" t="n" s="17">
        <v>1</v>
      </c>
      <c r="I15" t="n" s="18">
        <v>0.0103</v>
      </c>
      <c r="J15" t="s">
        <v>22</v>
      </c>
      <c r="K15" t="n" s="17">
        <v>4</v>
      </c>
      <c r="L15" t="n" s="17">
        <v>3.84</v>
      </c>
      <c r="M15" t="n" s="16">
        <v>570.48</v>
      </c>
      <c r="N15" t="n" s="17">
        <v>1</v>
      </c>
      <c r="O15" t="n" s="17">
        <v>1</v>
      </c>
      <c r="P15" t="n" s="17">
        <v>0</v>
      </c>
      <c r="Q15" t="n" s="18">
        <v>1</v>
      </c>
      <c r="R15" t="n" s="16">
        <v>0</v>
      </c>
      <c r="S15" t="n" s="16">
        <v>0</v>
      </c>
      <c r="T15" t="n" s="16">
        <v>570.48</v>
      </c>
    </row>
    <row r="16" hidden="0" ht="15" customHeight="1" spans="1:1">
      <c r="A16" t="s">
        <v>23</v>
      </c>
      <c r="B16" t="str" s="15">
        <f>HYPERLINK("https://www.amazon.in/dp/B0BXTC6NZ6", "B0BXTC6NZ6")</f>
      </c>
      <c r="C16" t="str" s="15">
        <f>HYPERLINK("https://www.amazon.in/dp/GET IT Cotton Mutlipurpose 5 in 1 Baby Feeding Nursing Pillow with Adjustable Strap| for Breastfeeding, Baby Support &amp; Playtime | Washable Premium Cotton Cover with Zip -(Aash Star)", "GET IT Cotton Mutlipurpose 5 in 1 Baby Feeding Nursing Pillow with Adjustable Strap| for Breastfeeding, Baby Support &amp; Playtime | Washable Premium Cotton Cover with Zip -(Aash Star)")</f>
      </c>
      <c r="D16" t="n" s="16">
        <v>599</v>
      </c>
      <c r="E16" t="n" s="16">
        <v>11446.3</v>
      </c>
      <c r="F16" t="n" s="17">
        <v>212</v>
      </c>
      <c r="G16" t="n" s="17">
        <v>283</v>
      </c>
      <c r="H16" t="n" s="17">
        <v>1</v>
      </c>
      <c r="I16" t="n" s="18">
        <v>0.076</v>
      </c>
      <c r="J16" t="s">
        <v>22</v>
      </c>
      <c r="K16" t="n" s="17">
        <v>4</v>
      </c>
      <c r="L16" t="n" s="17">
        <v>4.23</v>
      </c>
      <c r="M16" t="n" s="16">
        <v>11980.08</v>
      </c>
      <c r="N16" t="n" s="17">
        <v>21</v>
      </c>
      <c r="O16" t="n" s="17">
        <v>7</v>
      </c>
      <c r="P16" t="n" s="17">
        <v>0</v>
      </c>
      <c r="Q16" t="n" s="18">
        <v>0.35</v>
      </c>
      <c r="R16" t="n" s="16">
        <v>0</v>
      </c>
      <c r="S16" t="n" s="16">
        <v>0</v>
      </c>
      <c r="T16" t="n" s="16">
        <v>3993.36</v>
      </c>
    </row>
    <row r="17" hidden="0" ht="15" customHeight="1" spans="1:1">
      <c r="A17" t="s">
        <v>21</v>
      </c>
      <c r="B17" t="str" s="15">
        <f>HYPERLINK("https://www.amazon.in/dp/B01LCM4NB6", "B01LCM4NB6")</f>
      </c>
      <c r="C17" t="str" s="15">
        <f>HYPERLINK("https://www.amazon.in/dp/GET IT Multi Use Wedge Pillow for Pregnancy Women and New Born Baby | Lower Back-Pain Relief |Knee Support Between Legs | Anti Vomiting and Milk Spitting for New Born Baby (Apple Green)", "GET IT Multi Use Wedge Pillow for Pregnancy Women and New Born Baby | Lower Back-Pain Relief |Knee Support Between Legs | Anti Vomiting and Milk Spitting for New Born Baby (Apple Green)")</f>
      </c>
      <c r="D17" t="n" s="16">
        <v>599</v>
      </c>
      <c r="E17" t="n" s="16">
        <v>1140.96</v>
      </c>
      <c r="F17" t="n" s="17">
        <v>30</v>
      </c>
      <c r="G17" t="n" s="17">
        <v>34</v>
      </c>
      <c r="H17" t="n" s="17">
        <v>1</v>
      </c>
      <c r="I17" t="n" s="18">
        <v>0.0645</v>
      </c>
      <c r="J17" t="s">
        <v>22</v>
      </c>
      <c r="K17" t="n" s="17">
        <v>4</v>
      </c>
      <c r="L17" t="n" s="17">
        <v>3.62</v>
      </c>
      <c r="M17" t="n" s="16">
        <v>1140.96</v>
      </c>
      <c r="N17" t="n" s="17">
        <v>2</v>
      </c>
      <c r="O17" t="n" s="17">
        <v>0</v>
      </c>
      <c r="P17" t="n" s="17">
        <v>0</v>
      </c>
      <c r="Q17" t="n" s="18">
        <v>0</v>
      </c>
      <c r="R17" t="n" s="16">
        <v>0</v>
      </c>
      <c r="S17" t="n" s="16">
        <v>0</v>
      </c>
      <c r="T17" t="n" s="16">
        <v>0</v>
      </c>
    </row>
    <row r="18" hidden="0" ht="15" customHeight="1" spans="1:1">
      <c r="A18" t="s">
        <v>23</v>
      </c>
      <c r="B18" t="str" s="15">
        <f>HYPERLINK("https://www.amazon.in/dp/B07NKSDNRC", "B07NKSDNRC")</f>
      </c>
      <c r="C18" t="str" s="15">
        <f>HYPERLINK("https://www.amazon.in/dp/GET IT Multi Use Wedge Pillow for Pregnancy Women and New Born Baby | Lower Back-Pain Relief |Knee Support Between Legs | Anti Vomiting and Milk Spitting for New Born Baby (Pink with Beige)", "GET IT Multi Use Wedge Pillow for Pregnancy Women and New Born Baby | Lower Back-Pain Relief |Knee Support Between Legs | Anti Vomiting and Milk Spitting for New Born Baby (Pink with Beige)")</f>
      </c>
      <c r="D18" t="n" s="16">
        <v>599</v>
      </c>
      <c r="E18" t="n" s="16">
        <v>11980.08</v>
      </c>
      <c r="F18" t="n" s="17">
        <v>414</v>
      </c>
      <c r="G18" t="n" s="17">
        <v>567</v>
      </c>
      <c r="H18" t="n" s="17">
        <v>1</v>
      </c>
      <c r="I18" t="n" s="18">
        <v>0.0414</v>
      </c>
      <c r="J18" t="s">
        <v>22</v>
      </c>
      <c r="K18" t="n" s="17">
        <v>4</v>
      </c>
      <c r="L18" t="n" s="17">
        <v>3.84</v>
      </c>
      <c r="M18" t="n" s="16">
        <v>12550.56</v>
      </c>
      <c r="N18" t="n" s="17">
        <v>22</v>
      </c>
      <c r="O18" t="n" s="17">
        <v>4</v>
      </c>
      <c r="P18" t="n" s="17">
        <v>0</v>
      </c>
      <c r="Q18" t="n" s="18">
        <v>0.1905</v>
      </c>
      <c r="R18" t="n" s="16">
        <v>0</v>
      </c>
      <c r="S18" t="n" s="16">
        <v>0</v>
      </c>
      <c r="T18" t="n" s="16">
        <v>2281.92</v>
      </c>
    </row>
    <row r="19" hidden="0" ht="15" customHeight="1" spans="1:1">
      <c r="A19" t="s">
        <v>23</v>
      </c>
      <c r="B19" t="str" s="15">
        <f>HYPERLINK("https://www.amazon.in/dp/B09XDWZ2J5", "B09XDWZ2J5")</f>
      </c>
      <c r="C19" t="str" s="15">
        <f>HYPERLINK("https://www.amazon.in/dp/GET IT Cotton Mutlipurpose 5 in 1 Baby Feeding Nursing Pillow with Adjustable Strap| for Breastfeeding, Baby Support &amp; Playtime | Washable Premium Cotton Cover with Zip (Blue Leaf Print)", "GET IT Cotton Mutlipurpose 5 in 1 Baby Feeding Nursing Pillow with Adjustable Strap| for Breastfeeding, Baby Support &amp; Playtime | Washable Premium Cotton Cover with Zip (Blue Leaf Print)")</f>
      </c>
      <c r="D19" t="n" s="16">
        <v>598</v>
      </c>
      <c r="E19" t="n" s="16">
        <v>6831.54</v>
      </c>
      <c r="F19" t="n" s="17">
        <v>366</v>
      </c>
      <c r="G19" t="n" s="17">
        <v>475</v>
      </c>
      <c r="H19" t="n" s="17">
        <v>1</v>
      </c>
      <c r="I19" t="n" s="18">
        <v>0.027000000000000003</v>
      </c>
      <c r="J19" t="s">
        <v>22</v>
      </c>
      <c r="K19" t="n" s="17">
        <v>4</v>
      </c>
      <c r="L19" t="n" s="17">
        <v>4.23</v>
      </c>
      <c r="M19" t="n" s="16">
        <v>7403.76</v>
      </c>
      <c r="N19" t="n" s="17">
        <v>13</v>
      </c>
      <c r="O19" t="n" s="17">
        <v>4</v>
      </c>
      <c r="P19" t="n" s="17">
        <v>0</v>
      </c>
      <c r="Q19" t="n" s="18">
        <v>0.3333</v>
      </c>
      <c r="R19" t="n" s="16">
        <v>0</v>
      </c>
      <c r="S19" t="n" s="16">
        <v>0</v>
      </c>
      <c r="T19" t="n" s="16">
        <v>2278.08</v>
      </c>
    </row>
    <row r="20" hidden="0" ht="15" customHeight="1" spans="1:1">
      <c r="A20" t="s">
        <v>23</v>
      </c>
      <c r="B20" t="str" s="15">
        <f>HYPERLINK("https://www.amazon.in/dp/B07P13S8H6", "B07P13S8H6")</f>
      </c>
      <c r="C20" t="str" s="15">
        <f>HYPERLINK("https://www.amazon.in/dp/GET IT Cotton 5-in-1 Feeding Pillow with Detachable Cover | New Born Portable Breast Feeding Pillow for Baby | Infant Support for Baby and Mom (Red with Beige)", "GET IT Cotton 5-in-1 Feeding Pillow with Detachable Cover | New Born Portable Breast Feeding Pillow for Baby | Infant Support for Baby and Mom (Red with Beige)")</f>
      </c>
      <c r="D20" t="n" s="16">
        <v>598</v>
      </c>
      <c r="E20" t="n" s="16">
        <v>569.52</v>
      </c>
      <c r="F20" t="n" s="17">
        <v>14</v>
      </c>
      <c r="G20" t="n" s="17">
        <v>19</v>
      </c>
      <c r="H20" t="n" s="17">
        <v>1</v>
      </c>
      <c r="I20" t="n" s="18">
        <v>0.0556</v>
      </c>
      <c r="J20" t="s">
        <v>22</v>
      </c>
      <c r="K20" t="n" s="17">
        <v>4</v>
      </c>
      <c r="L20" t="n" s="17">
        <v>4.23</v>
      </c>
      <c r="M20" t="n" s="16">
        <v>569.52</v>
      </c>
      <c r="N20" t="n" s="17">
        <v>1</v>
      </c>
      <c r="O20" t="n" s="17">
        <v>0</v>
      </c>
      <c r="P20" t="n" s="17">
        <v>0</v>
      </c>
      <c r="Q20" t="n" s="18">
        <v>0</v>
      </c>
      <c r="R20" t="n" s="16">
        <v>0</v>
      </c>
      <c r="S20" t="n" s="16">
        <v>0</v>
      </c>
      <c r="T20" t="n" s="16">
        <v>0</v>
      </c>
    </row>
    <row r="21" hidden="0" ht="15" customHeight="1" spans="1:1">
      <c r="A21" t="s">
        <v>23</v>
      </c>
      <c r="B21" t="str" s="15">
        <f>HYPERLINK("https://www.amazon.in/dp/B09XDK75X8", "B09XDK75X8")</f>
      </c>
      <c r="C21" t="str" s="15">
        <f>HYPERLINK("https://www.amazon.in/dp/GET IT Cotton Mutlipurpose 5 in 1 Baby Feeding Nursing Pillow with Adjustable Strap| for Breastfeeding, Baby Support &amp; Playtime | Washable Premium Cotton Cover with Zip (Orange Leaf Print)", "GET IT Cotton Mutlipurpose 5 in 1 Baby Feeding Nursing Pillow with Adjustable Strap| for Breastfeeding, Baby Support &amp; Playtime | Washable Premium Cotton Cover with Zip (Orange Leaf Print)")</f>
      </c>
      <c r="D21" t="n" s="16">
        <v>598</v>
      </c>
      <c r="E21" t="n" s="16">
        <v>569.52</v>
      </c>
      <c r="F21" t="n" s="17">
        <v>76</v>
      </c>
      <c r="G21" t="n" s="17">
        <v>83</v>
      </c>
      <c r="H21" t="n" s="17">
        <v>1</v>
      </c>
      <c r="I21" t="n" s="18">
        <v>0.0128</v>
      </c>
      <c r="J21" t="s">
        <v>22</v>
      </c>
      <c r="K21" t="n" s="17">
        <v>4</v>
      </c>
      <c r="L21" t="n" s="17">
        <v>4.23</v>
      </c>
      <c r="M21" t="n" s="16">
        <v>569.52</v>
      </c>
      <c r="N21" t="n" s="17">
        <v>1</v>
      </c>
      <c r="O21" t="n" s="17">
        <v>0</v>
      </c>
      <c r="P21" t="n" s="17">
        <v>0</v>
      </c>
      <c r="Q21" t="n" s="18">
        <v>0</v>
      </c>
      <c r="R21" t="n" s="16">
        <v>0</v>
      </c>
      <c r="S21" t="n" s="16">
        <v>0</v>
      </c>
      <c r="T21" t="n" s="16">
        <v>0</v>
      </c>
    </row>
    <row r="22" hidden="0" ht="15" customHeight="1" spans="1:1">
      <c r="A22" t="s">
        <v>23</v>
      </c>
      <c r="B22" t="str" s="15">
        <f>HYPERLINK("https://www.amazon.in/dp/B0BXTBCCNC", "B0BXTBCCNC")</f>
      </c>
      <c r="C22" t="str" s="15">
        <f>HYPERLINK("https://www.amazon.in/dp/GET IT Cotton 5-in-1 Feeding Pillow with Detachable Cover, New Born Breast Feeding Pillow Portable Pillow for Baby and Mom -(Pink Star)", "GET IT Cotton 5-in-1 Feeding Pillow with Detachable Cover, New Born Breast Feeding Pillow Portable Pillow for Baby and Mom -(Pink Star)")</f>
      </c>
      <c r="D22" t="n" s="16">
        <v>598</v>
      </c>
      <c r="E22" t="n" s="16">
        <v>1177.14</v>
      </c>
      <c r="F22" t="n" s="17">
        <v>44</v>
      </c>
      <c r="G22" t="n" s="17">
        <v>59</v>
      </c>
      <c r="H22" t="n" s="17">
        <v>1</v>
      </c>
      <c r="I22" t="n" s="18">
        <v>0.035699999999999996</v>
      </c>
      <c r="J22" t="s">
        <v>22</v>
      </c>
      <c r="K22" t="n" s="17">
        <v>4</v>
      </c>
      <c r="L22" t="n" s="17">
        <v>4.23</v>
      </c>
      <c r="M22" t="n" s="16">
        <v>1139.04</v>
      </c>
      <c r="N22" t="n" s="17">
        <v>2</v>
      </c>
      <c r="O22" t="n" s="17">
        <v>0</v>
      </c>
      <c r="P22" t="n" s="17">
        <v>0</v>
      </c>
      <c r="Q22" t="n" s="18">
        <v>0</v>
      </c>
      <c r="R22" t="n" s="16">
        <v>0</v>
      </c>
      <c r="S22" t="n" s="16">
        <v>0</v>
      </c>
      <c r="T22" t="n" s="16">
        <v>0</v>
      </c>
    </row>
    <row r="23" hidden="0" ht="15" customHeight="1" spans="1:1">
      <c r="A23" t="s">
        <v>23</v>
      </c>
      <c r="B23" t="str" s="15">
        <f>HYPERLINK("https://www.amazon.in/dp/B07P13BXZX", "B07P13BXZX")</f>
      </c>
      <c r="C23" t="str" s="15">
        <f>HYPERLINK("https://www.amazon.in/dp/GET IT Cotton 5-in-1 Feeding Pillow with Detachable Cover | New Born Portable Breast Feeding Pillow for Baby | Infant Support for Baby and Mom (Cryan Blue with Beige)", "GET IT Cotton 5-in-1 Feeding Pillow with Detachable Cover | New Born Portable Breast Feeding Pillow for Baby | Infant Support for Baby and Mom (Cryan Blue with Beige)")</f>
      </c>
      <c r="D23" t="n" s="16">
        <v>598</v>
      </c>
      <c r="E23" t="n" s="16">
        <v>569.52</v>
      </c>
      <c r="F23" t="n" s="17">
        <v>59</v>
      </c>
      <c r="G23" t="n" s="17">
        <v>66</v>
      </c>
      <c r="H23" t="n" s="17">
        <v>1</v>
      </c>
      <c r="I23" t="n" s="18">
        <v>0.0169</v>
      </c>
      <c r="J23" t="s">
        <v>22</v>
      </c>
      <c r="K23" t="n" s="17">
        <v>4</v>
      </c>
      <c r="L23" t="n" s="17">
        <v>4.23</v>
      </c>
      <c r="M23" t="n" s="16">
        <v>569.52</v>
      </c>
      <c r="N23" t="n" s="17">
        <v>1</v>
      </c>
      <c r="O23" t="n" s="17">
        <v>0</v>
      </c>
      <c r="P23" t="n" s="17">
        <v>0</v>
      </c>
      <c r="Q23" t="n" s="18">
        <v>0</v>
      </c>
      <c r="R23" t="n" s="16">
        <v>0</v>
      </c>
      <c r="S23" t="n" s="16">
        <v>0</v>
      </c>
      <c r="T23" t="n" s="16">
        <v>0</v>
      </c>
    </row>
    <row r="24" hidden="0" ht="15" customHeight="1" spans="1:1">
      <c r="A24" t="s">
        <v>23</v>
      </c>
      <c r="B24" t="str" s="15">
        <f>HYPERLINK("https://www.amazon.in/dp/B07NY3L66L", "B07NY3L66L")</f>
      </c>
      <c r="C24" t="str" s="15">
        <f>HYPERLINK("https://www.amazon.in/dp/GET IT Cotton 5-in-1 Feeding Pillow with Detachable Cover | New Born Portable Breast Feeding Pillow for Baby | Infant Support for Baby and Mom (Full Purple)", "GET IT Cotton 5-in-1 Feeding Pillow with Detachable Cover | New Born Portable Breast Feeding Pillow for Baby | Infant Support for Baby and Mom (Full Purple)")</f>
      </c>
      <c r="D24" t="n" s="16">
        <v>598</v>
      </c>
      <c r="E24" t="n" s="16">
        <v>1708.56</v>
      </c>
      <c r="F24" t="n" s="17">
        <v>128</v>
      </c>
      <c r="G24" t="n" s="17">
        <v>158</v>
      </c>
      <c r="H24" t="n" s="17">
        <v>1</v>
      </c>
      <c r="I24" t="n" s="18">
        <v>0.0194</v>
      </c>
      <c r="J24" t="s">
        <v>22</v>
      </c>
      <c r="K24" t="n" s="17">
        <v>4</v>
      </c>
      <c r="L24" t="n" s="17">
        <v>4.23</v>
      </c>
      <c r="M24" t="n" s="16">
        <v>1708.56</v>
      </c>
      <c r="N24" t="n" s="17">
        <v>3</v>
      </c>
      <c r="O24" t="n" s="17">
        <v>0</v>
      </c>
      <c r="P24" t="n" s="17">
        <v>0</v>
      </c>
      <c r="Q24" t="n" s="18">
        <v>0</v>
      </c>
      <c r="R24" t="n" s="16">
        <v>0</v>
      </c>
      <c r="S24" t="n" s="16">
        <v>0</v>
      </c>
      <c r="T24" t="n" s="16">
        <v>0</v>
      </c>
    </row>
    <row r="25" hidden="0" ht="15" customHeight="1" spans="1:1">
      <c r="A25" t="s">
        <v>23</v>
      </c>
      <c r="B25" t="str" s="15">
        <f>HYPERLINK("https://www.amazon.in/dp/B09XDK9RMF", "B09XDK9RMF")</f>
      </c>
      <c r="C25" t="str" s="15">
        <f>HYPERLINK("https://www.amazon.in/dp/GET IT Cotton Mutlipurpose 5 in 1 Baby Feeding Nursing Pillow with Adjustable Strap| for Breastfeeding, Baby Support &amp; Playtime | Washable Premium Cotton Cover with Zip (Pink Leaf Print)", "GET IT Cotton Mutlipurpose 5 in 1 Baby Feeding Nursing Pillow with Adjustable Strap| for Breastfeeding, Baby Support &amp; Playtime | Washable Premium Cotton Cover with Zip (Pink Leaf Print)")</f>
      </c>
      <c r="D25" t="n" s="16">
        <v>598</v>
      </c>
      <c r="E25" t="n" s="16">
        <v>1708.56</v>
      </c>
      <c r="F25" t="n" s="17">
        <v>56</v>
      </c>
      <c r="G25" t="n" s="17">
        <v>64</v>
      </c>
      <c r="H25" t="n" s="17">
        <v>0.97</v>
      </c>
      <c r="I25" t="n" s="18">
        <v>0.051699999999999996</v>
      </c>
      <c r="J25" t="s">
        <v>22</v>
      </c>
      <c r="K25" t="n" s="17">
        <v>4</v>
      </c>
      <c r="L25" t="n" s="17">
        <v>4.23</v>
      </c>
      <c r="M25" t="n" s="16">
        <v>2278.08</v>
      </c>
      <c r="N25" t="n" s="17">
        <v>4</v>
      </c>
      <c r="O25" t="n" s="17">
        <v>0</v>
      </c>
      <c r="P25" t="n" s="17">
        <v>0</v>
      </c>
      <c r="Q25" t="n" s="18">
        <v>0</v>
      </c>
      <c r="R25" t="n" s="16">
        <v>0</v>
      </c>
      <c r="S25" t="n" s="16">
        <v>0</v>
      </c>
      <c r="T25" t="n" s="16">
        <v>0</v>
      </c>
    </row>
    <row r="26" hidden="0" ht="15" customHeight="1" spans="1:1">
      <c r="A26" t="s">
        <v>23</v>
      </c>
      <c r="B26" t="str" s="15">
        <f>HYPERLINK("https://www.amazon.in/dp/B0BXTDF5RC", "B0BXTDF5RC")</f>
      </c>
      <c r="C26" t="str" s="15">
        <f>HYPERLINK("https://www.amazon.in/dp/GET IT Cotton 5-in-1 Feeding Pillow with Detachable Cover, New Born Breast Feeding Pillow Portable Pillow for Baby and Mom -(Blue Star)", "GET IT Cotton 5-in-1 Feeding Pillow with Detachable Cover, New Born Breast Feeding Pillow Portable Pillow for Baby and Mom -(Blue Star)")</f>
      </c>
      <c r="D26" t="n" s="16">
        <v>598</v>
      </c>
      <c r="E26" t="n" s="16">
        <v>9111.87</v>
      </c>
      <c r="F26" t="n" s="17">
        <v>308</v>
      </c>
      <c r="G26" t="n" s="17">
        <v>403</v>
      </c>
      <c r="H26" t="n" s="17">
        <v>0.99</v>
      </c>
      <c r="I26" t="n" s="18">
        <v>0.0436</v>
      </c>
      <c r="J26" t="s">
        <v>22</v>
      </c>
      <c r="K26" t="n" s="17">
        <v>4</v>
      </c>
      <c r="L26" t="n" s="17">
        <v>4.23</v>
      </c>
      <c r="M26" t="n" s="16">
        <v>10251.36</v>
      </c>
      <c r="N26" t="n" s="17">
        <v>18</v>
      </c>
      <c r="O26" t="n" s="17">
        <v>4</v>
      </c>
      <c r="P26" t="n" s="17">
        <v>0</v>
      </c>
      <c r="Q26" t="n" s="18">
        <v>0.25</v>
      </c>
      <c r="R26" t="n" s="16">
        <v>0</v>
      </c>
      <c r="S26" t="n" s="16">
        <v>0</v>
      </c>
      <c r="T26" t="n" s="16">
        <v>2278.08</v>
      </c>
    </row>
    <row r="27" hidden="0" ht="15" customHeight="1" spans="1:1">
      <c r="A27" t="s">
        <v>23</v>
      </c>
      <c r="B27" t="str" s="15">
        <f>HYPERLINK("https://www.amazon.in/dp/B072R5FX7T", "B072R5FX7T")</f>
      </c>
      <c r="C27" t="str" s="15">
        <f>HYPERLINK("https://www.amazon.in/dp/GET IT Cotton 5-in-1 Feeding Pillow with Detachable Cover | New Born Portable Breast Feeding Pillow for Baby | Infant Support for Baby and Mom | Pink Star", "GET IT Cotton 5-in-1 Feeding Pillow with Detachable Cover | New Born Portable Breast Feeding Pillow for Baby | Infant Support for Baby and Mom | Pink Star")</f>
      </c>
      <c r="D27" t="n" s="16">
        <v>548</v>
      </c>
      <c r="E27" t="n" s="16">
        <v>1565.7</v>
      </c>
      <c r="F27" t="n" s="17">
        <v>71</v>
      </c>
      <c r="G27" t="n" s="17">
        <v>87</v>
      </c>
      <c r="H27" t="n" s="17">
        <v>1</v>
      </c>
      <c r="I27" t="n" s="18">
        <v>0.0361</v>
      </c>
      <c r="J27" t="s">
        <v>22</v>
      </c>
      <c r="K27" t="n" s="17">
        <v>4</v>
      </c>
      <c r="L27" t="n" s="17">
        <v>4.23</v>
      </c>
      <c r="M27" t="n" s="16">
        <v>2087.6</v>
      </c>
      <c r="N27" t="n" s="17">
        <v>4</v>
      </c>
      <c r="O27" t="n" s="17">
        <v>0</v>
      </c>
      <c r="P27" t="n" s="17">
        <v>0</v>
      </c>
      <c r="Q27" t="n" s="18">
        <v>0</v>
      </c>
      <c r="R27" t="n" s="16">
        <v>0</v>
      </c>
      <c r="S27" t="n" s="16">
        <v>0</v>
      </c>
      <c r="T27" t="n" s="16">
        <v>0</v>
      </c>
    </row>
    <row r="28" hidden="0" ht="15" customHeight="1" spans="1:1">
      <c r="A28" t="s">
        <v>23</v>
      </c>
      <c r="B28" t="str" s="15">
        <f>HYPERLINK("https://www.amazon.in/dp/B071XC7S5K", "B071XC7S5K")</f>
      </c>
      <c r="C28" t="str" s="15">
        <f>HYPERLINK("https://www.amazon.in/dp/GET IT Cotton 5-in-1 Feeding Pillow with Detachable Cover | New Born Portable Breast Feeding Pillow for Baby | Infant Support for Baby and Mom | Blue Star", "GET IT Cotton 5-in-1 Feeding Pillow with Detachable Cover | New Born Portable Breast Feeding Pillow for Baby | Infant Support for Baby and Mom | Blue Star")</f>
      </c>
      <c r="D28" t="n" s="16">
        <v>547.79</v>
      </c>
      <c r="E28" t="n" s="16">
        <v>54285.2</v>
      </c>
      <c r="F28" t="n" s="17">
        <v>1883</v>
      </c>
      <c r="G28" t="n" s="17">
        <v>2890</v>
      </c>
      <c r="H28" t="n" s="17">
        <v>1</v>
      </c>
      <c r="I28" t="n" s="18">
        <v>0.0412</v>
      </c>
      <c r="J28" t="s">
        <v>22</v>
      </c>
      <c r="K28" t="n" s="17">
        <v>4</v>
      </c>
      <c r="L28" t="n" s="17">
        <v>4.23</v>
      </c>
      <c r="M28" t="n" s="16">
        <v>58431.94</v>
      </c>
      <c r="N28" t="n" s="17">
        <v>112</v>
      </c>
      <c r="O28" t="n" s="17">
        <v>15</v>
      </c>
      <c r="P28" t="n" s="17">
        <v>0</v>
      </c>
      <c r="Q28" t="n" s="18">
        <v>0.1442</v>
      </c>
      <c r="R28" t="n" s="16">
        <v>0</v>
      </c>
      <c r="S28" t="n" s="16">
        <v>0</v>
      </c>
      <c r="T28" t="n" s="16">
        <v>7828.5</v>
      </c>
    </row>
    <row r="29" hidden="0" ht="15" customHeight="1" spans="1:1">
      <c r="A29" t="s">
        <v>21</v>
      </c>
      <c r="B29" t="str" s="15">
        <f>HYPERLINK("https://www.amazon.in/dp/B0D58K5WFC", "B0D58K5WFC")</f>
      </c>
      <c r="C29" t="str" s="15">
        <f>HYPERLINK("https://www.amazon.in/dp/GET IT Premium Multi Usage Baby Breastfeeding Cover Nursing Cover for New Born Adjustable Strap Easy Use in Travel - Navy Blue Print", "GET IT Premium Multi Usage Baby Breastfeeding Cover Nursing Cover for New Born Adjustable Strap Easy Use in Travel - Navy Blue Print")</f>
      </c>
      <c r="D29" t="n" s="16">
        <v>499</v>
      </c>
      <c r="E29" t="n" s="16">
        <v>475.24</v>
      </c>
      <c r="F29" t="n" s="17">
        <v>4</v>
      </c>
      <c r="G29" t="n" s="17">
        <v>6</v>
      </c>
      <c r="H29" t="n" s="17">
        <v>1</v>
      </c>
      <c r="I29" t="n" s="18">
        <v>0.16670000000000001</v>
      </c>
      <c r="J29" t="s">
        <v>22</v>
      </c>
      <c r="K29" t="n" s="17">
        <v>2</v>
      </c>
      <c r="L29" t="n" s="17">
        <v>2</v>
      </c>
      <c r="M29" t="n" s="16">
        <v>475.24</v>
      </c>
      <c r="N29" t="n" s="17">
        <v>1</v>
      </c>
      <c r="O29" t="n" s="17">
        <v>0</v>
      </c>
      <c r="P29" t="n" s="17">
        <v>0</v>
      </c>
      <c r="Q29" t="n" s="18">
        <v>0</v>
      </c>
      <c r="R29" t="n" s="16">
        <v>0</v>
      </c>
      <c r="S29" t="n" s="16">
        <v>0</v>
      </c>
      <c r="T29" t="n" s="16">
        <v>0</v>
      </c>
    </row>
    <row r="30" hidden="0" ht="15" customHeight="1" spans="1:1">
      <c r="A30" t="s">
        <v>21</v>
      </c>
      <c r="B30" t="str" s="15">
        <f>HYPERLINK("https://www.amazon.in/dp/B09SKC66LQ", "B09SKC66LQ")</f>
      </c>
      <c r="C30" t="str" s="15">
        <f>HYPERLINK("https://www.amazon.in/dp/GET IT Multi Use Wedge Pillow for Pregnancy Women and New Born Baby | Lower Back-Pain Relief |Knee Support Between Legs | Anti Vomiting and Milk Spitting for New Born Baby (Heart Pink)", "GET IT Multi Use Wedge Pillow for Pregnancy Women and New Born Baby | Lower Back-Pain Relief |Knee Support Between Legs | Anti Vomiting and Milk Spitting for New Born Baby (Heart Pink)")</f>
      </c>
      <c r="D30" t="n" s="16">
        <v>499</v>
      </c>
      <c r="E30" t="n" s="16">
        <v>9062.41</v>
      </c>
      <c r="F30" t="n" s="17">
        <v>270</v>
      </c>
      <c r="G30" t="n" s="17">
        <v>375</v>
      </c>
      <c r="H30" t="n" s="17">
        <v>1</v>
      </c>
      <c r="I30" t="n" s="18">
        <v>0.0557</v>
      </c>
      <c r="J30" t="s">
        <v>22</v>
      </c>
      <c r="K30" t="n" s="17">
        <v>4</v>
      </c>
      <c r="L30" t="n" s="17">
        <v>3.84</v>
      </c>
      <c r="M30" t="n" s="16">
        <v>9504.8</v>
      </c>
      <c r="N30" t="n" s="17">
        <v>20</v>
      </c>
      <c r="O30" t="n" s="17">
        <v>4</v>
      </c>
      <c r="P30" t="n" s="17">
        <v>0</v>
      </c>
      <c r="Q30" t="n" s="18">
        <v>0.21050000000000002</v>
      </c>
      <c r="R30" t="n" s="16">
        <v>0</v>
      </c>
      <c r="S30" t="n" s="16">
        <v>0</v>
      </c>
      <c r="T30" t="n" s="16">
        <v>1900.96</v>
      </c>
    </row>
    <row r="31" hidden="0" ht="15" customHeight="1" spans="1:1">
      <c r="A31" t="s">
        <v>21</v>
      </c>
      <c r="B31" t="str" s="15">
        <f>HYPERLINK("https://www.amazon.in/dp/B09WLDWSVQ", "B09WLDWSVQ")</f>
      </c>
      <c r="C31" t="str" s="15">
        <f>HYPERLINK("https://www.amazon.in/dp/GET IT Memory Foam Multi Use Wedge Pillow For Pregnancy Women And New Born Baby Lower Back-Pain Relief Knee Support Between Legs Anti Vomiting Milk Spitting (Royal Blue16 Inch X 14 3.5 Inch)", "GET IT Memory Foam Multi Use Wedge Pillow For Pregnancy Women And New Born Baby Lower Back-Pain Relief Knee Support Between Legs Anti Vomiting Milk Spitting (Royal Blue16 Inch X 14 3.5 Inch)")</f>
      </c>
      <c r="D31" t="n" s="16">
        <v>498.71</v>
      </c>
      <c r="E31" t="n" s="16">
        <v>16657.77</v>
      </c>
      <c r="F31" t="n" s="17">
        <v>769</v>
      </c>
      <c r="G31" t="n" s="17">
        <v>991</v>
      </c>
      <c r="H31" t="n" s="17">
        <v>1</v>
      </c>
      <c r="I31" t="n" s="18">
        <v>0.0384</v>
      </c>
      <c r="J31" t="s">
        <v>22</v>
      </c>
      <c r="K31" t="n" s="17">
        <v>4</v>
      </c>
      <c r="L31" t="n" s="17">
        <v>3.84</v>
      </c>
      <c r="M31" t="n" s="16">
        <v>17574.35</v>
      </c>
      <c r="N31" t="n" s="17">
        <v>37</v>
      </c>
      <c r="O31" t="n" s="17">
        <v>8</v>
      </c>
      <c r="P31" t="n" s="17">
        <v>0</v>
      </c>
      <c r="Q31" t="n" s="18">
        <v>0.2286</v>
      </c>
      <c r="R31" t="n" s="16">
        <v>0</v>
      </c>
      <c r="S31" t="n" s="16">
        <v>0</v>
      </c>
      <c r="T31" t="n" s="16">
        <v>3792.39</v>
      </c>
    </row>
    <row r="32" hidden="0" ht="15" customHeight="1" spans="1:1">
      <c r="A32" t="s">
        <v>21</v>
      </c>
      <c r="B32" t="str" s="15">
        <f>HYPERLINK("https://www.amazon.in/dp/B0C8PPPDNS", "B0C8PPPDNS")</f>
      </c>
      <c r="C32" t="str" s="15">
        <f>HYPERLINK("https://www.amazon.in/dp/GET IT Multi Use Wedge Pillow for Pregnancy Women and New Born Baby | Lower Back-Pain Relief |Knee Support Between Legs | Anti Vomiting and Milk Spitting for New Born Baby (Micky-White)", "GET IT Multi Use Wedge Pillow for Pregnancy Women and New Born Baby | Lower Back-Pain Relief |Knee Support Between Legs | Anti Vomiting and Milk Spitting for New Born Baby (Micky-White)")</f>
      </c>
      <c r="D32" t="n" s="16">
        <v>497.86</v>
      </c>
      <c r="E32" t="n" s="16">
        <v>33377.8</v>
      </c>
      <c r="F32" t="n" s="17">
        <v>830</v>
      </c>
      <c r="G32" t="n" s="17">
        <v>1205</v>
      </c>
      <c r="H32" t="n" s="17">
        <v>1</v>
      </c>
      <c r="I32" t="n" s="18">
        <v>0.0645</v>
      </c>
      <c r="J32" t="s">
        <v>22</v>
      </c>
      <c r="K32" t="n" s="17">
        <v>4</v>
      </c>
      <c r="L32" t="n" s="17">
        <v>3.84</v>
      </c>
      <c r="M32" t="n" s="16">
        <v>32242.12</v>
      </c>
      <c r="N32" t="n" s="17">
        <v>68</v>
      </c>
      <c r="O32" t="n" s="17">
        <v>13</v>
      </c>
      <c r="P32" t="n" s="17">
        <v>0</v>
      </c>
      <c r="Q32" t="n" s="18">
        <v>0.1857</v>
      </c>
      <c r="R32" t="n" s="16">
        <v>0</v>
      </c>
      <c r="S32" t="n" s="16">
        <v>0</v>
      </c>
      <c r="T32" t="n" s="16">
        <v>6165.76</v>
      </c>
    </row>
    <row r="33" hidden="0" ht="15" customHeight="1" spans="1:1">
      <c r="A33" t="s">
        <v>21</v>
      </c>
      <c r="B33" t="str" s="15">
        <f>HYPERLINK("https://www.amazon.in/dp/B09SLJRMMM", "B09SLJRMMM")</f>
      </c>
      <c r="C33" t="str" s="15">
        <f>HYPERLINK("https://www.amazon.in/dp/GET IT Multi Use Wedge Pillow for Pregnancy Women and New Born Baby | Lower Back-Pain Relief |Knee Support Between Legs | Anti Vomiting and Milk Spitting for New Born Baby (Pink Star)", "GET IT Multi Use Wedge Pillow for Pregnancy Women and New Born Baby | Lower Back-Pain Relief |Knee Support Between Legs | Anti Vomiting and Milk Spitting for New Born Baby (Pink Star)")</f>
      </c>
      <c r="D33" t="n" s="16">
        <v>497.57</v>
      </c>
      <c r="E33" t="n" s="16">
        <v>3317.17</v>
      </c>
      <c r="F33" t="n" s="17">
        <v>137</v>
      </c>
      <c r="G33" t="n" s="17">
        <v>186</v>
      </c>
      <c r="H33" t="n" s="17">
        <v>1</v>
      </c>
      <c r="I33" t="n" s="18">
        <v>0.0424</v>
      </c>
      <c r="J33" t="s">
        <v>22</v>
      </c>
      <c r="K33" t="n" s="17">
        <v>4</v>
      </c>
      <c r="L33" t="n" s="17">
        <v>3.84</v>
      </c>
      <c r="M33" t="n" s="16">
        <v>3792.41</v>
      </c>
      <c r="N33" t="n" s="17">
        <v>8</v>
      </c>
      <c r="O33" t="n" s="17">
        <v>3</v>
      </c>
      <c r="P33" t="n" s="17">
        <v>0</v>
      </c>
      <c r="Q33" t="n" s="18">
        <v>0.4286</v>
      </c>
      <c r="R33" t="n" s="16">
        <v>0</v>
      </c>
      <c r="S33" t="n" s="16">
        <v>0</v>
      </c>
      <c r="T33" t="n" s="16">
        <v>1425.72</v>
      </c>
    </row>
    <row r="34" hidden="0" ht="15" customHeight="1" spans="1:1">
      <c r="A34" t="s">
        <v>23</v>
      </c>
      <c r="B34" t="str" s="15">
        <f>HYPERLINK("https://www.amazon.in/dp/B072KMS8CZ", "B072KMS8CZ")</f>
      </c>
      <c r="C34" t="str" s="15">
        <f>HYPERLINK("https://www.amazon.in/dp/Get IT Dual Pattern Baby Sleeping Carrying Bag (Yellow)", "Get IT Dual Pattern Baby Sleeping Carrying Bag (Yellow)")</f>
      </c>
      <c r="D34" t="n" s="16">
        <v>399</v>
      </c>
      <c r="E34" t="n" s="16">
        <v>380</v>
      </c>
      <c r="F34" t="n" s="17">
        <v>11</v>
      </c>
      <c r="G34" t="n" s="17">
        <v>14</v>
      </c>
      <c r="H34" t="n" s="17">
        <v>1</v>
      </c>
      <c r="I34" t="n" s="18">
        <v>0.0833</v>
      </c>
      <c r="J34" t="s">
        <v>22</v>
      </c>
      <c r="K34" t="n" s="17">
        <v>4</v>
      </c>
      <c r="L34" t="n" s="17">
        <v>3.5</v>
      </c>
      <c r="M34" t="n" s="16">
        <v>380</v>
      </c>
      <c r="N34" t="n" s="17">
        <v>1</v>
      </c>
      <c r="O34" t="n" s="17">
        <v>1</v>
      </c>
      <c r="P34" t="n" s="17">
        <v>0</v>
      </c>
      <c r="Q34" t="n" s="18">
        <v>1</v>
      </c>
      <c r="R34" t="n" s="16">
        <v>0</v>
      </c>
      <c r="S34" t="n" s="16">
        <v>0</v>
      </c>
      <c r="T34" t="n" s="16">
        <v>380</v>
      </c>
    </row>
    <row r="35" hidden="0" ht="15" customHeight="1" spans="1:1">
      <c r="A35" t="s">
        <v>23</v>
      </c>
      <c r="B35" t="str" s="15">
        <f>HYPERLINK("https://www.amazon.in/dp/B0C8PQYQPX", "B0C8PQYQPX")</f>
      </c>
      <c r="C35" t="str" s="15">
        <f>HYPERLINK("https://www.amazon.in/dp/GET IT Hanging Spring for Baby Cradle, Infant Jhula Swing Stainless Steel Spring Set Triangle, Spring for Hanging Cradle, thottil Hook, jhoola, jula, Swing Weight Support 15kg", "GET IT Hanging Spring for Baby Cradle, Infant Jhula Swing Stainless Steel Spring Set Triangle, Spring for Hanging Cradle, thottil Hook, jhoola, jula, Swing Weight Support 15kg")</f>
      </c>
      <c r="D35" t="n" s="16">
        <v>345</v>
      </c>
      <c r="E35" t="n" s="16">
        <v>11572.06</v>
      </c>
      <c r="F35" t="n" s="17">
        <v>1450</v>
      </c>
      <c r="G35" t="n" s="17">
        <v>1808</v>
      </c>
      <c r="H35" t="n" s="17">
        <v>1</v>
      </c>
      <c r="I35" t="n" s="18">
        <v>0.021</v>
      </c>
      <c r="J35" t="s">
        <v>22</v>
      </c>
      <c r="K35" t="n" s="17">
        <v>4</v>
      </c>
      <c r="L35" t="n" s="17">
        <v>4.19</v>
      </c>
      <c r="M35" t="n" s="16">
        <v>12157.22</v>
      </c>
      <c r="N35" t="n" s="17">
        <v>38</v>
      </c>
      <c r="O35" t="n" s="17">
        <v>5</v>
      </c>
      <c r="P35" t="n" s="17">
        <v>0</v>
      </c>
      <c r="Q35" t="n" s="18">
        <v>0.1429</v>
      </c>
      <c r="R35" t="n" s="16">
        <v>0</v>
      </c>
      <c r="S35" t="n" s="16">
        <v>0</v>
      </c>
      <c r="T35" t="n" s="16">
        <v>1642.87</v>
      </c>
    </row>
    <row r="36" hidden="0" ht="15" customHeight="1" spans="1:1">
      <c r="A36" t="s">
        <v>23</v>
      </c>
      <c r="B36" t="str" s="15">
        <f>HYPERLINK("https://www.amazon.in/dp/B0D58M7SZS", "B0D58M7SZS")</f>
      </c>
      <c r="C36" t="str" s="15">
        <f>HYPERLINK("https://www.amazon.in/dp/GET IT Premium Multi Usage Baby Breastfeeding Pillow Cover Nursing Pillow Cover for Newborn 360 Degree Protection - Navy Blue Print", "GET IT Premium Multi Usage Baby Breastfeeding Pillow Cover Nursing Pillow Cover for Newborn 360 Degree Protection - Navy Blue Print")</f>
      </c>
      <c r="D36" t="n" s="16">
        <v>0</v>
      </c>
      <c r="E36" t="n" s="16">
        <v>0</v>
      </c>
      <c r="F36" t="n" s="17">
        <v>15</v>
      </c>
      <c r="G36" t="n" s="17">
        <v>15</v>
      </c>
      <c r="H36" t="n" s="17">
        <v>0.93</v>
      </c>
      <c r="I36" t="n" s="18">
        <v>0</v>
      </c>
      <c r="J36" t="s">
        <v>22</v>
      </c>
      <c r="K36" t="n" s="17">
        <v>0</v>
      </c>
      <c r="L36" t="n" s="17">
        <v>0</v>
      </c>
      <c r="M36" t="n" s="16">
        <v>0</v>
      </c>
      <c r="N36" t="n" s="17">
        <v>0</v>
      </c>
      <c r="O36" t="n" s="17">
        <v>0</v>
      </c>
      <c r="P36" t="n" s="17">
        <v>0</v>
      </c>
      <c r="Q36" t="n" s="18">
        <v>0</v>
      </c>
      <c r="R36" t="n" s="16">
        <v>0</v>
      </c>
      <c r="S36" t="n" s="16">
        <v>0</v>
      </c>
      <c r="T36" t="n" s="16">
        <v>0</v>
      </c>
    </row>
    <row r="37" hidden="0" ht="15" customHeight="1" spans="1:1">
      <c r="A37" t="s">
        <v>21</v>
      </c>
      <c r="B37" t="str" s="15">
        <f>HYPERLINK("https://www.amazon.in/dp/B09SKQB2DV", "B09SKQB2DV")</f>
      </c>
      <c r="C37" t="str" s="15">
        <f>HYPERLINK("https://www.amazon.in/dp/GET IT Multi Use Wedge Pillow for Pregnancy Women and New Born Baby | Lower Back-Pain Relief |Knee Support Between Legs | Anti Vomiting and Milk Spitting for New Born Baby (Heart Blue)", "GET IT Multi Use Wedge Pillow for Pregnancy Women and New Born Baby | Lower Back-Pain Relief |Knee Support Between Legs | Anti Vomiting and Milk Spitting for New Born Baby (Heart Blue)")</f>
      </c>
      <c r="D37" t="n" s="16">
        <v>0</v>
      </c>
      <c r="E37" t="n" s="16">
        <v>0</v>
      </c>
      <c r="F37" t="n" s="17">
        <v>0</v>
      </c>
      <c r="G37" t="n" s="17">
        <v>0</v>
      </c>
      <c r="H37" t="n" s="17">
        <v>0</v>
      </c>
      <c r="I37" t="n" s="18">
        <v>0</v>
      </c>
      <c r="J37" t="s">
        <v>22</v>
      </c>
      <c r="K37" t="n" s="17">
        <v>3</v>
      </c>
      <c r="L37" t="n" s="17">
        <v>3.38</v>
      </c>
      <c r="M37" t="n" s="16">
        <v>0</v>
      </c>
      <c r="N37" t="n" s="17">
        <v>0</v>
      </c>
      <c r="O37" t="n" s="17">
        <v>0</v>
      </c>
      <c r="P37" t="n" s="17">
        <v>0</v>
      </c>
      <c r="Q37" t="n" s="18">
        <v>0</v>
      </c>
      <c r="R37" t="n" s="16">
        <v>0</v>
      </c>
      <c r="S37" t="n" s="16">
        <v>0</v>
      </c>
      <c r="T37" t="n" s="16">
        <v>0</v>
      </c>
    </row>
    <row r="38" hidden="0" ht="15" customHeight="1" spans="1:1">
      <c r="A38" t="s">
        <v>21</v>
      </c>
      <c r="B38" t="str" s="15">
        <f>HYPERLINK("https://www.amazon.in/dp/B07P28XB3D", "B07P28XB3D")</f>
      </c>
      <c r="C38" t="str" s="15">
        <f>HYPERLINK("https://www.amazon.in/dp/GET IT Feeding Nursing Pillow Micro Fibre withfrills (Cryan Blue, Extra Large)", "GET IT Feeding Nursing Pillow Micro Fibre withfrills (Cryan Blue, Extra Large)")</f>
      </c>
      <c r="D38" t="n" s="16">
        <v>0</v>
      </c>
      <c r="E38" t="n" s="16">
        <v>0</v>
      </c>
      <c r="F38" t="n" s="17">
        <v>102</v>
      </c>
      <c r="G38" t="n" s="17">
        <v>103</v>
      </c>
      <c r="H38" t="n" s="17">
        <v>1</v>
      </c>
      <c r="I38" t="n" s="18">
        <v>0</v>
      </c>
      <c r="J38" t="s">
        <v>22</v>
      </c>
      <c r="K38" t="n" s="17">
        <v>4</v>
      </c>
      <c r="L38" t="n" s="17">
        <v>4.23</v>
      </c>
      <c r="M38" t="n" s="16">
        <v>0</v>
      </c>
      <c r="N38" t="n" s="17">
        <v>0</v>
      </c>
      <c r="O38" t="n" s="17">
        <v>0</v>
      </c>
      <c r="P38" t="n" s="17">
        <v>0</v>
      </c>
      <c r="Q38" t="n" s="18">
        <v>0</v>
      </c>
      <c r="R38" t="n" s="16">
        <v>0</v>
      </c>
      <c r="S38" t="n" s="16">
        <v>0</v>
      </c>
      <c r="T38" t="n" s="16">
        <v>0</v>
      </c>
    </row>
    <row r="39" hidden="0" ht="15" customHeight="1" spans="1:1">
      <c r="A39" t="s">
        <v>21</v>
      </c>
      <c r="B39" t="str" s="15">
        <f>HYPERLINK("https://www.amazon.in/dp/B0DG8ZYQSP", "B0DG8ZYQSP")</f>
      </c>
      <c r="C39" t="str" s="15">
        <f>HYPERLINK("https://www.amazon.in/dp/GET IT Maternity Pilow | Pregnancy Pillow | Premium J Shape | Back Pain | Leg pelivs Support | 6 Months Warranty - Navy Blue", "GET IT Maternity Pilow | Pregnancy Pillow | Premium J Shape | Back Pain | Leg pelivs Support | 6 Months Warranty - Navy Blue")</f>
      </c>
      <c r="D39" t="n" s="16">
        <v>0</v>
      </c>
      <c r="E39" t="n" s="16">
        <v>0</v>
      </c>
      <c r="F39" t="n" s="17">
        <v>2</v>
      </c>
      <c r="G39" t="n" s="17">
        <v>3</v>
      </c>
      <c r="H39" t="n" s="17">
        <v>1</v>
      </c>
      <c r="I39" t="n" s="18">
        <v>0</v>
      </c>
      <c r="J39" t="s">
        <v>22</v>
      </c>
      <c r="K39" t="n" s="17">
        <v>0</v>
      </c>
      <c r="L39" t="n" s="17">
        <v>0</v>
      </c>
      <c r="M39" t="n" s="16">
        <v>0</v>
      </c>
      <c r="N39" t="n" s="17">
        <v>0</v>
      </c>
      <c r="O39" t="n" s="17">
        <v>0</v>
      </c>
      <c r="P39" t="n" s="17">
        <v>0</v>
      </c>
      <c r="Q39" t="n" s="18">
        <v>0</v>
      </c>
      <c r="R39" t="n" s="16">
        <v>0</v>
      </c>
      <c r="S39" t="n" s="16">
        <v>0</v>
      </c>
      <c r="T39" t="n" s="16">
        <v>0</v>
      </c>
    </row>
    <row r="40" hidden="0" ht="15" customHeight="1" spans="1:1">
      <c r="A40" t="s">
        <v>21</v>
      </c>
      <c r="B40" t="str" s="15">
        <f>HYPERLINK("https://www.amazon.in/dp/B09WLF9LY8", "B09WLF9LY8")</f>
      </c>
      <c r="C40" t="str" s="15">
        <f>HYPERLINK("https://www.amazon.in/dp/GET IT Multi Use Wedge Pillow for Pregnancy Women and New Born Baby | Lower Back-Pain Relief |Knee Support Between Legs | Anti Vomiting and Milk Spitting for New Born Baby (Maroon)", "GET IT Multi Use Wedge Pillow for Pregnancy Women and New Born Baby | Lower Back-Pain Relief |Knee Support Between Legs | Anti Vomiting and Milk Spitting for New Born Baby (Maroon)")</f>
      </c>
      <c r="D40" t="n" s="16">
        <v>0</v>
      </c>
      <c r="E40" t="n" s="16">
        <v>0</v>
      </c>
      <c r="F40" t="n" s="17">
        <v>0</v>
      </c>
      <c r="G40" t="n" s="17">
        <v>0</v>
      </c>
      <c r="H40" t="n" s="17">
        <v>0</v>
      </c>
      <c r="I40" t="n" s="18">
        <v>0</v>
      </c>
      <c r="J40" t="s">
        <v>22</v>
      </c>
      <c r="K40" t="n" s="17">
        <v>4</v>
      </c>
      <c r="L40" t="n" s="17">
        <v>3.84</v>
      </c>
      <c r="M40" t="n" s="16">
        <v>0</v>
      </c>
      <c r="N40" t="n" s="17">
        <v>0</v>
      </c>
      <c r="O40" t="n" s="17">
        <v>2</v>
      </c>
      <c r="P40" t="n" s="17">
        <v>0</v>
      </c>
      <c r="Q40" t="n" s="18">
        <v>0</v>
      </c>
      <c r="R40" t="n" s="16">
        <v>0</v>
      </c>
      <c r="S40" t="n" s="16">
        <v>0</v>
      </c>
      <c r="T40" t="n" s="16">
        <v>950.48</v>
      </c>
    </row>
    <row r="41" hidden="0" ht="15" customHeight="1" spans="1:1">
      <c r="A41" t="s">
        <v>21</v>
      </c>
      <c r="B41" t="str" s="15">
        <f>HYPERLINK("https://www.amazon.in/dp/B0DG8ZFJ4F", "B0DG8ZFJ4F")</f>
      </c>
      <c r="C41" t="str" s="15">
        <f>HYPERLINK("https://www.amazon.in/dp/GET IT Breastfeeding Cover Premium Multi Usage Baby Nursing Cover Apron Model for New Born Adjustable Strap Easy Use in Travel", "GET IT Breastfeeding Cover Premium Multi Usage Baby Nursing Cover Apron Model for New Born Adjustable Strap Easy Use in Travel")</f>
      </c>
      <c r="D41" t="n" s="16">
        <v>0</v>
      </c>
      <c r="E41" t="n" s="16">
        <v>0</v>
      </c>
      <c r="F41" t="n" s="17">
        <v>2</v>
      </c>
      <c r="G41" t="n" s="17">
        <v>2</v>
      </c>
      <c r="H41" t="n" s="17">
        <v>1</v>
      </c>
      <c r="I41" t="n" s="18">
        <v>0</v>
      </c>
      <c r="J41" t="s">
        <v>22</v>
      </c>
      <c r="K41" t="n" s="17">
        <v>0</v>
      </c>
      <c r="L41" t="n" s="17">
        <v>0</v>
      </c>
      <c r="M41" t="n" s="16">
        <v>0</v>
      </c>
      <c r="N41" t="n" s="17">
        <v>0</v>
      </c>
      <c r="O41" t="n" s="17">
        <v>0</v>
      </c>
      <c r="P41" t="n" s="17">
        <v>0</v>
      </c>
      <c r="Q41" t="n" s="18">
        <v>0</v>
      </c>
      <c r="R41" t="n" s="16">
        <v>0</v>
      </c>
      <c r="S41" t="n" s="16">
        <v>0</v>
      </c>
      <c r="T41" t="n" s="16">
        <v>0</v>
      </c>
    </row>
    <row r="42" hidden="0" ht="15" customHeight="1" spans="1:1">
      <c r="A42" t="s">
        <v>21</v>
      </c>
      <c r="B42" t="str" s="15">
        <f>HYPERLINK("https://www.amazon.in/dp/B01AW2HPWG", "B01AW2HPWG")</f>
      </c>
      <c r="C42" t="str" s="15">
        <f>HYPERLINK("https://www.amazon.in/dp/GET IT Back N Belly U Shape Pregnancy Pillow - Pink, Polymer Fiber", "GET IT Back N Belly U Shape Pregnancy Pillow - Pink, Polymer Fiber")</f>
      </c>
      <c r="D42" t="n" s="16">
        <v>0</v>
      </c>
      <c r="E42" t="n" s="16">
        <v>0</v>
      </c>
      <c r="F42" t="n" s="17">
        <v>5</v>
      </c>
      <c r="G42" t="n" s="17">
        <v>6</v>
      </c>
      <c r="H42" t="n" s="17">
        <v>1</v>
      </c>
      <c r="I42" t="n" s="18">
        <v>0</v>
      </c>
      <c r="J42" t="s">
        <v>22</v>
      </c>
      <c r="K42" t="n" s="17">
        <v>3</v>
      </c>
      <c r="L42" t="n" s="17">
        <v>2.89</v>
      </c>
      <c r="M42" t="n" s="16">
        <v>0</v>
      </c>
      <c r="N42" t="n" s="17">
        <v>0</v>
      </c>
      <c r="O42" t="n" s="17">
        <v>0</v>
      </c>
      <c r="P42" t="n" s="17">
        <v>0</v>
      </c>
      <c r="Q42" t="n" s="18">
        <v>0</v>
      </c>
      <c r="R42" t="n" s="16">
        <v>0</v>
      </c>
      <c r="S42" t="n" s="16">
        <v>0</v>
      </c>
      <c r="T42" t="n" s="16">
        <v>0</v>
      </c>
    </row>
    <row r="43" hidden="0" ht="15" customHeight="1" spans="1:1">
      <c r="A43" t="s">
        <v>21</v>
      </c>
      <c r="B43" t="str" s="15">
        <f>HYPERLINK("https://www.amazon.in/dp/B07NLHP754", "B07NLHP754")</f>
      </c>
      <c r="C43" t="str" s="15">
        <f>HYPERLINK("https://www.amazon.in/dp/GET IT Long Body Rectangular Microfiber Pillow (Purple, 20"x72" inches (i.e 50x180 Cms) [6 ft Long])", "GET IT Long Body Rectangular Microfiber Pillow (Purple, 20"x72" inches (i.e 50x180 Cms) [6 ft Long])")</f>
      </c>
      <c r="D43" t="n" s="16">
        <v>0</v>
      </c>
      <c r="E43" t="n" s="16">
        <v>0</v>
      </c>
      <c r="F43" t="n" s="17">
        <v>0</v>
      </c>
      <c r="G43" t="n" s="17">
        <v>0</v>
      </c>
      <c r="H43" t="n" s="17">
        <v>0</v>
      </c>
      <c r="I43" t="n" s="18">
        <v>0</v>
      </c>
      <c r="J43" t="s">
        <v>22</v>
      </c>
      <c r="K43" t="n" s="17">
        <v>5</v>
      </c>
      <c r="L43" t="n" s="17">
        <v>4.84</v>
      </c>
      <c r="M43" t="n" s="16">
        <v>0</v>
      </c>
      <c r="N43" t="n" s="17">
        <v>0</v>
      </c>
      <c r="O43" t="n" s="17">
        <v>0</v>
      </c>
      <c r="P43" t="n" s="17">
        <v>0</v>
      </c>
      <c r="Q43" t="n" s="18">
        <v>0</v>
      </c>
      <c r="R43" t="n" s="16">
        <v>0</v>
      </c>
      <c r="S43" t="n" s="16">
        <v>0</v>
      </c>
      <c r="T43" t="n" s="16">
        <v>0</v>
      </c>
    </row>
    <row r="44" hidden="0" ht="15" customHeight="1" spans="1:1">
      <c r="A44" t="s">
        <v>23</v>
      </c>
      <c r="B44" t="str" s="15">
        <f>HYPERLINK("https://www.amazon.in/dp/B07NZ293RN", "B07NZ293RN")</f>
      </c>
      <c r="C44" t="str" s="15">
        <f>HYPERLINK("https://www.amazon.in/dp/GET IT Cotton 5-in-1 Feeding Pillow with Detachable Cover | New Born Portable Breast Feeding Pillow for Baby | Infant Support for Baby and Mom (Full Pink)", "GET IT Cotton 5-in-1 Feeding Pillow with Detachable Cover | New Born Portable Breast Feeding Pillow for Baby | Infant Support for Baby and Mom (Full Pink)")</f>
      </c>
      <c r="D44" t="n" s="16">
        <v>0</v>
      </c>
      <c r="E44" t="n" s="16">
        <v>0</v>
      </c>
      <c r="F44" t="n" s="17">
        <v>20</v>
      </c>
      <c r="G44" t="n" s="17">
        <v>20</v>
      </c>
      <c r="H44" t="n" s="17">
        <v>1</v>
      </c>
      <c r="I44" t="n" s="18">
        <v>0</v>
      </c>
      <c r="J44" t="s">
        <v>22</v>
      </c>
      <c r="K44" t="n" s="17">
        <v>4</v>
      </c>
      <c r="L44" t="n" s="17">
        <v>4.23</v>
      </c>
      <c r="M44" t="n" s="16">
        <v>0</v>
      </c>
      <c r="N44" t="n" s="17">
        <v>0</v>
      </c>
      <c r="O44" t="n" s="17">
        <v>0</v>
      </c>
      <c r="P44" t="n" s="17">
        <v>0</v>
      </c>
      <c r="Q44" t="n" s="18">
        <v>0</v>
      </c>
      <c r="R44" t="n" s="16">
        <v>0</v>
      </c>
      <c r="S44" t="n" s="16">
        <v>0</v>
      </c>
      <c r="T44" t="n" s="16">
        <v>0</v>
      </c>
    </row>
    <row r="45" hidden="0" ht="15" customHeight="1" spans="1:1">
      <c r="A45" t="s">
        <v>21</v>
      </c>
      <c r="B45" t="str" s="15">
        <f>HYPERLINK("https://www.amazon.in/dp/B07NY3N6WT", "B07NY3N6WT")</f>
      </c>
      <c r="C45" t="str" s="15">
        <f>HYPERLINK("https://www.amazon.in/dp/GET IT Feeding Nursing Pillow Micro Fibre withfrills (Pink, Extra Large)", "GET IT Feeding Nursing Pillow Micro Fibre withfrills (Pink, Extra Large)")</f>
      </c>
      <c r="D45" t="n" s="16">
        <v>0</v>
      </c>
      <c r="E45" t="n" s="16">
        <v>0</v>
      </c>
      <c r="F45" t="n" s="17">
        <v>35</v>
      </c>
      <c r="G45" t="n" s="17">
        <v>38</v>
      </c>
      <c r="H45" t="n" s="17">
        <v>1</v>
      </c>
      <c r="I45" t="n" s="18">
        <v>0</v>
      </c>
      <c r="J45" t="s">
        <v>22</v>
      </c>
      <c r="K45" t="n" s="17">
        <v>4</v>
      </c>
      <c r="L45" t="n" s="17">
        <v>4.23</v>
      </c>
      <c r="M45" t="n" s="16">
        <v>0</v>
      </c>
      <c r="N45" t="n" s="17">
        <v>0</v>
      </c>
      <c r="O45" t="n" s="17">
        <v>0</v>
      </c>
      <c r="P45" t="n" s="17">
        <v>0</v>
      </c>
      <c r="Q45" t="n" s="18">
        <v>0</v>
      </c>
      <c r="R45" t="n" s="16">
        <v>0</v>
      </c>
      <c r="S45" t="n" s="16">
        <v>0</v>
      </c>
      <c r="T45" t="n" s="16">
        <v>0</v>
      </c>
    </row>
    <row r="46" hidden="0" ht="15" customHeight="1" spans="1:1">
      <c r="A46" t="s">
        <v>24</v>
      </c>
      <c r="B46" t="str" s="15">
        <f>HYPERLINK("https://www.amazon.in/dp/B07HWT7BVW", "B07HWT7BVW")</f>
      </c>
      <c r="C46" t="str" s="15">
        <f>HYPERLINK("https://www.amazon.in/dp/GET IT Portable Bed (Pink)", "GET IT Portable Bed (Pink)")</f>
      </c>
      <c r="D46" t="n" s="16">
        <v>0</v>
      </c>
      <c r="E46" t="n" s="16">
        <v>0</v>
      </c>
      <c r="F46" t="n" s="17">
        <v>16</v>
      </c>
      <c r="G46" t="n" s="17">
        <v>17</v>
      </c>
      <c r="H46" t="n" s="17">
        <v>1</v>
      </c>
      <c r="I46" t="n" s="18">
        <v>0</v>
      </c>
      <c r="J46" t="s">
        <v>22</v>
      </c>
      <c r="K46" t="n" s="17">
        <v>5</v>
      </c>
      <c r="L46" t="n" s="17">
        <v>5</v>
      </c>
      <c r="M46" t="n" s="16">
        <v>0</v>
      </c>
      <c r="N46" t="n" s="17">
        <v>0</v>
      </c>
      <c r="O46" t="n" s="17">
        <v>0</v>
      </c>
      <c r="P46" t="n" s="17">
        <v>0</v>
      </c>
      <c r="Q46" t="n" s="18">
        <v>0</v>
      </c>
      <c r="R46" t="n" s="16">
        <v>0</v>
      </c>
      <c r="S46" t="n" s="16">
        <v>0</v>
      </c>
      <c r="T46" t="n" s="16">
        <v>0</v>
      </c>
    </row>
    <row r="47" hidden="0" ht="15" customHeight="1" spans="1:1">
      <c r="A47" t="s">
        <v>21</v>
      </c>
      <c r="B47" t="str" s="15">
        <f>HYPERLINK("https://www.amazon.in/dp/B0721SCXNR", "B0721SCXNR")</f>
      </c>
      <c r="C47" t="str" s="15">
        <f>HYPERLINK("https://www.amazon.in/dp/GET IT Feeding Nursing Pillow Microfibre (Red with Frills, Extra Large)", "GET IT Feeding Nursing Pillow Microfibre (Red with Frills, Extra Large)")</f>
      </c>
      <c r="D47" t="n" s="16">
        <v>0</v>
      </c>
      <c r="E47" t="n" s="16">
        <v>0</v>
      </c>
      <c r="F47" t="n" s="17">
        <v>20</v>
      </c>
      <c r="G47" t="n" s="17">
        <v>24</v>
      </c>
      <c r="H47" t="n" s="17">
        <v>1</v>
      </c>
      <c r="I47" t="n" s="18">
        <v>0</v>
      </c>
      <c r="J47" t="s">
        <v>22</v>
      </c>
      <c r="K47" t="n" s="17">
        <v>4</v>
      </c>
      <c r="L47" t="n" s="17">
        <v>4.23</v>
      </c>
      <c r="M47" t="n" s="16">
        <v>0</v>
      </c>
      <c r="N47" t="n" s="17">
        <v>0</v>
      </c>
      <c r="O47" t="n" s="17">
        <v>0</v>
      </c>
      <c r="P47" t="n" s="17">
        <v>0</v>
      </c>
      <c r="Q47" t="n" s="18">
        <v>0</v>
      </c>
      <c r="R47" t="n" s="16">
        <v>0</v>
      </c>
      <c r="S47" t="n" s="16">
        <v>0</v>
      </c>
      <c r="T47" t="n" s="16">
        <v>0</v>
      </c>
    </row>
    <row r="48" hidden="0" ht="15" customHeight="1" spans="1:1">
      <c r="A48" t="s">
        <v>24</v>
      </c>
      <c r="B48" t="str" s="15">
        <f>HYPERLINK("https://www.amazon.in/dp/B07HWN7WCB", "B07HWN7WCB")</f>
      </c>
      <c r="C48" t="str" s="15">
        <f>HYPERLINK("https://www.amazon.in/dp/GET IT Portable Bed (Blue)", "GET IT Portable Bed (Blue)")</f>
      </c>
      <c r="D48" t="n" s="16">
        <v>0</v>
      </c>
      <c r="E48" t="n" s="16">
        <v>0</v>
      </c>
      <c r="F48" t="n" s="17">
        <v>29</v>
      </c>
      <c r="G48" t="n" s="17">
        <v>31</v>
      </c>
      <c r="H48" t="n" s="17">
        <v>1</v>
      </c>
      <c r="I48" t="n" s="18">
        <v>0</v>
      </c>
      <c r="J48" t="s">
        <v>22</v>
      </c>
      <c r="K48" t="n" s="17">
        <v>5</v>
      </c>
      <c r="L48" t="n" s="17">
        <v>5</v>
      </c>
      <c r="M48" t="n" s="16">
        <v>0</v>
      </c>
      <c r="N48" t="n" s="17">
        <v>0</v>
      </c>
      <c r="O48" t="n" s="17">
        <v>0</v>
      </c>
      <c r="P48" t="n" s="17">
        <v>0</v>
      </c>
      <c r="Q48" t="n" s="18">
        <v>0</v>
      </c>
      <c r="R48" t="n" s="16">
        <v>0</v>
      </c>
      <c r="S48" t="n" s="16">
        <v>0</v>
      </c>
      <c r="T48" t="n" s="16">
        <v>0</v>
      </c>
    </row>
    <row r="49" hidden="0" ht="15" customHeight="1" spans="1:1">
      <c r="A49" t="s">
        <v>21</v>
      </c>
      <c r="B49" t="str" s="15">
        <f>HYPERLINK("https://www.amazon.in/dp/B09XJ6FP3Y", "B09XJ6FP3Y")</f>
      </c>
      <c r="C49" t="str" s="15">
        <f>HYPERLINK("https://www.amazon.in/dp/GET IT Half Moon Orthopedic Pillow Helps to Reduced Stress on Spine, Neck Pain Relief | Knee, Leg, Back Support Bolster Pillow, Sciatica and Back Sleepers (Brown Soft Velvet)", "GET IT Half Moon Orthopedic Pillow Helps to Reduced Stress on Spine, Neck Pain Relief | Knee, Leg, Back Support Bolster Pillow, Sciatica and Back Sleepers (Brown Soft Velvet)")</f>
      </c>
      <c r="D49" t="n" s="16">
        <v>0</v>
      </c>
      <c r="E49" t="n" s="16">
        <v>0</v>
      </c>
      <c r="F49" t="n" s="17">
        <v>3</v>
      </c>
      <c r="G49" t="n" s="17">
        <v>4</v>
      </c>
      <c r="H49" t="n" s="17">
        <v>1</v>
      </c>
      <c r="I49" t="n" s="18">
        <v>0</v>
      </c>
      <c r="J49" t="s">
        <v>22</v>
      </c>
      <c r="K49" t="n" s="17">
        <v>3</v>
      </c>
      <c r="L49" t="n" s="17">
        <v>3.4</v>
      </c>
      <c r="M49" t="n" s="16">
        <v>380</v>
      </c>
      <c r="N49" t="n" s="17">
        <v>1</v>
      </c>
      <c r="O49" t="n" s="17">
        <v>0</v>
      </c>
      <c r="P49" t="n" s="17">
        <v>0</v>
      </c>
      <c r="Q49" t="n" s="18">
        <v>0</v>
      </c>
      <c r="R49" t="n" s="16">
        <v>0</v>
      </c>
      <c r="S49" t="n" s="16">
        <v>0</v>
      </c>
      <c r="T49" t="n" s="16">
        <v>0</v>
      </c>
    </row>
    <row r="50" hidden="0" ht="15" customHeight="1" spans="1:1">
      <c r="A50" t="s">
        <v>21</v>
      </c>
      <c r="B50" t="str" s="15">
        <f>HYPERLINK("https://www.amazon.in/dp/B07NYCKFPF", "B07NYCKFPF")</f>
      </c>
      <c r="C50" t="str" s="15">
        <f>HYPERLINK("https://www.amazon.in/dp/GET IT Maternity Pilow | Pregnancy Pillow | Premium 3 in 1 Multi Usage as Breastfeeding | Dismantle Model | Back Pain | Leg pelivs Support | 6 Months Warranty (Orange, Premium Extra Large)", "GET IT Maternity Pilow | Pregnancy Pillow | Premium 3 in 1 Multi Usage as Breastfeeding | Dismantle Model | Back Pain | Leg pelivs Support | 6 Months Warranty (Orange, Premium Extra Large)")</f>
      </c>
      <c r="D50" t="n" s="16">
        <v>0</v>
      </c>
      <c r="E50" t="n" s="16">
        <v>0</v>
      </c>
      <c r="F50" t="n" s="17">
        <v>10</v>
      </c>
      <c r="G50" t="n" s="17">
        <v>12</v>
      </c>
      <c r="H50" t="n" s="17">
        <v>1</v>
      </c>
      <c r="I50" t="n" s="18">
        <v>0</v>
      </c>
      <c r="J50" t="s">
        <v>22</v>
      </c>
      <c r="K50" t="n" s="17">
        <v>3</v>
      </c>
      <c r="L50" t="n" s="17">
        <v>3.16</v>
      </c>
      <c r="M50" t="n" s="16">
        <v>0</v>
      </c>
      <c r="N50" t="n" s="17">
        <v>0</v>
      </c>
      <c r="O50" t="n" s="17">
        <v>0</v>
      </c>
      <c r="P50" t="n" s="17">
        <v>0</v>
      </c>
      <c r="Q50" t="n" s="18">
        <v>0</v>
      </c>
      <c r="R50" t="n" s="16">
        <v>0</v>
      </c>
      <c r="S50" t="n" s="16">
        <v>0</v>
      </c>
      <c r="T50" t="n" s="16">
        <v>0</v>
      </c>
    </row>
    <row r="51" hidden="0" ht="15" customHeight="1" spans="1:1">
      <c r="A51" t="s">
        <v>21</v>
      </c>
      <c r="B51" t="str" s="15">
        <f>HYPERLINK("https://www.amazon.in/dp/B0DG91SBMG", "B0DG91SBMG")</f>
      </c>
      <c r="C51" t="str" s="15">
        <f>HYPERLINK("https://www.amazon.in/dp/GET IT Orthopaedic Wedge Pillow Back Support | 2 Years Warranty | Sleeping for Acid Reflux, Snoring, GERD, Leg Elevation, Pregnancy - Naby Blue Flower", "GET IT Orthopaedic Wedge Pillow Back Support | 2 Years Warranty | Sleeping for Acid Reflux, Snoring, GERD, Leg Elevation, Pregnancy - Naby Blue Flower")</f>
      </c>
      <c r="D51" t="n" s="16">
        <v>0</v>
      </c>
      <c r="E51" t="n" s="16">
        <v>0</v>
      </c>
      <c r="F51" t="n" s="17">
        <v>2</v>
      </c>
      <c r="G51" t="n" s="17">
        <v>6</v>
      </c>
      <c r="H51" t="n" s="17">
        <v>1</v>
      </c>
      <c r="I51" t="n" s="18">
        <v>0</v>
      </c>
      <c r="J51" t="s">
        <v>22</v>
      </c>
      <c r="K51" t="n" s="17">
        <v>0</v>
      </c>
      <c r="L51" t="n" s="17">
        <v>0</v>
      </c>
      <c r="M51" t="n" s="16">
        <v>0</v>
      </c>
      <c r="N51" t="n" s="17">
        <v>0</v>
      </c>
      <c r="O51" t="n" s="17">
        <v>0</v>
      </c>
      <c r="P51" t="n" s="17">
        <v>0</v>
      </c>
      <c r="Q51" t="n" s="18">
        <v>0</v>
      </c>
      <c r="R51" t="n" s="16">
        <v>0</v>
      </c>
      <c r="S51" t="n" s="16">
        <v>0</v>
      </c>
      <c r="T51" t="n" s="16">
        <v>0</v>
      </c>
    </row>
    <row r="52" hidden="0" ht="15" customHeight="1" spans="1:1">
      <c r="A52" t="s">
        <v>23</v>
      </c>
      <c r="B52" t="str" s="15">
        <f>HYPERLINK("https://www.amazon.in/dp/B07NJ73QQQ", "B07NJ73QQQ")</f>
      </c>
      <c r="C52" t="str" s="15">
        <f>HYPERLINK("https://www.amazon.in/dp/GET IT Premium Breast Feeding Foam Pillow with Detachable Cover | Newborn Nursing |Zip Buckle Adjustment | Support Baby Mom | Upto 2 Years (Violet with Offwhite, Foam Extra Large, Polyurethane (PU))", "GET IT Premium Breast Feeding Foam Pillow with Detachable Cover | Newborn Nursing |Zip Buckle Adjustment | Support Baby Mom | Upto 2 Years (Violet with Offwhite, Foam Extra Large, Polyurethane (PU))")</f>
      </c>
      <c r="D52" t="n" s="16">
        <v>0</v>
      </c>
      <c r="E52" t="n" s="16">
        <v>0</v>
      </c>
      <c r="F52" t="n" s="17">
        <v>22</v>
      </c>
      <c r="G52" t="n" s="17">
        <v>29</v>
      </c>
      <c r="H52" t="n" s="17">
        <v>1</v>
      </c>
      <c r="I52" t="n" s="18">
        <v>0</v>
      </c>
      <c r="J52" t="s">
        <v>22</v>
      </c>
      <c r="K52" t="n" s="17">
        <v>4</v>
      </c>
      <c r="L52" t="n" s="17">
        <v>3.85</v>
      </c>
      <c r="M52" t="n" s="16">
        <v>0</v>
      </c>
      <c r="N52" t="n" s="17">
        <v>0</v>
      </c>
      <c r="O52" t="n" s="17">
        <v>0</v>
      </c>
      <c r="P52" t="n" s="17">
        <v>0</v>
      </c>
      <c r="Q52" t="n" s="18">
        <v>0</v>
      </c>
      <c r="R52" t="n" s="16">
        <v>0</v>
      </c>
      <c r="S52" t="n" s="16">
        <v>0</v>
      </c>
      <c r="T52" t="n" s="16">
        <v>0</v>
      </c>
    </row>
    <row r="53" hidden="0" ht="15" customHeight="1" spans="1:1">
      <c r="A53" t="s">
        <v>23</v>
      </c>
      <c r="B53" t="str" s="15">
        <f>HYPERLINK("https://www.amazon.in/dp/B07NZ1GG98", "B07NZ1GG98")</f>
      </c>
      <c r="C53" t="str" s="15">
        <f>HYPERLINK("https://www.amazon.in/dp/GET IT Cotton 5-in-1 Feeding Pillow with Detachable Cover | New Born Portable Breast Feeding Pillow for Baby | Infant Support for Baby and Mom (Full Blue)", "GET IT Cotton 5-in-1 Feeding Pillow with Detachable Cover | New Born Portable Breast Feeding Pillow for Baby | Infant Support for Baby and Mom (Full Blue)")</f>
      </c>
      <c r="D53" t="n" s="16">
        <v>0</v>
      </c>
      <c r="E53" t="n" s="16">
        <v>0</v>
      </c>
      <c r="F53" t="n" s="17">
        <v>98</v>
      </c>
      <c r="G53" t="n" s="17">
        <v>103</v>
      </c>
      <c r="H53" t="n" s="17">
        <v>1</v>
      </c>
      <c r="I53" t="n" s="18">
        <v>0</v>
      </c>
      <c r="J53" t="s">
        <v>22</v>
      </c>
      <c r="K53" t="n" s="17">
        <v>4</v>
      </c>
      <c r="L53" t="n" s="17">
        <v>4.23</v>
      </c>
      <c r="M53" t="n" s="16">
        <v>0</v>
      </c>
      <c r="N53" t="n" s="17">
        <v>0</v>
      </c>
      <c r="O53" t="n" s="17">
        <v>0</v>
      </c>
      <c r="P53" t="n" s="17">
        <v>0</v>
      </c>
      <c r="Q53" t="n" s="18">
        <v>0</v>
      </c>
      <c r="R53" t="n" s="16">
        <v>0</v>
      </c>
      <c r="S53" t="n" s="16">
        <v>0</v>
      </c>
      <c r="T53" t="n" s="16">
        <v>0</v>
      </c>
    </row>
    <row r="54" hidden="0" ht="15" customHeight="1" spans="1:1">
      <c r="A54" t="s">
        <v>21</v>
      </c>
      <c r="B54" t="str" s="15">
        <f>HYPERLINK("https://www.amazon.in/dp/B09XJ6XK99", "B09XJ6XK99")</f>
      </c>
      <c r="C54" t="str" s="15">
        <f>HYPERLINK("https://www.amazon.in/dp/GET IT Half Moon Orthopedic Pillow Helps to Reduced Stress on Spine, Neck Pain Relief | Knee, Leg, Back Support Bolster Pillow, Sciatica and Back Sleepers (Orange Soft Velvet)", "GET IT Half Moon Orthopedic Pillow Helps to Reduced Stress on Spine, Neck Pain Relief | Knee, Leg, Back Support Bolster Pillow, Sciatica and Back Sleepers (Orange Soft Velvet)")</f>
      </c>
      <c r="D54" t="n" s="16">
        <v>0</v>
      </c>
      <c r="E54" t="n" s="16">
        <v>0</v>
      </c>
      <c r="F54" t="n" s="17">
        <v>10</v>
      </c>
      <c r="G54" t="n" s="17">
        <v>13</v>
      </c>
      <c r="H54" t="n" s="17">
        <v>1</v>
      </c>
      <c r="I54" t="n" s="18">
        <v>0</v>
      </c>
      <c r="J54" t="s">
        <v>22</v>
      </c>
      <c r="K54" t="n" s="17">
        <v>3</v>
      </c>
      <c r="L54" t="n" s="17">
        <v>3.4</v>
      </c>
      <c r="M54" t="n" s="16">
        <v>0</v>
      </c>
      <c r="N54" t="n" s="17">
        <v>0</v>
      </c>
      <c r="O54" t="n" s="17">
        <v>0</v>
      </c>
      <c r="P54" t="n" s="17">
        <v>0</v>
      </c>
      <c r="Q54" t="n" s="18">
        <v>0</v>
      </c>
      <c r="R54" t="n" s="16">
        <v>0</v>
      </c>
      <c r="S54" t="n" s="16">
        <v>0</v>
      </c>
      <c r="T54" t="n" s="16">
        <v>0</v>
      </c>
    </row>
    <row r="55" hidden="0" ht="15" customHeight="1" spans="1:1">
      <c r="A55" t="s">
        <v>21</v>
      </c>
      <c r="B55" t="str" s="15">
        <f>HYPERLINK("https://www.amazon.in/dp/B0DG8ZSRMN", "B0DG8ZSRMN")</f>
      </c>
      <c r="C55" t="str" s="15">
        <f>HYPERLINK("https://www.amazon.in/dp/GET IT Maternity Pilow | Pregnancy Pillow | Premium J Shape | Back Pain | Leg pelivs Support | 6 Months Warranty - Maroon", "GET IT Maternity Pilow | Pregnancy Pillow | Premium J Shape | Back Pain | Leg pelivs Support | 6 Months Warranty - Maroon")</f>
      </c>
      <c r="D55" t="n" s="16">
        <v>0</v>
      </c>
      <c r="E55" t="n" s="16">
        <v>0</v>
      </c>
      <c r="F55" t="n" s="17">
        <v>1</v>
      </c>
      <c r="G55" t="n" s="17">
        <v>1</v>
      </c>
      <c r="H55" t="n" s="17">
        <v>1</v>
      </c>
      <c r="I55" t="n" s="18">
        <v>0</v>
      </c>
      <c r="J55" t="s">
        <v>22</v>
      </c>
      <c r="K55" t="n" s="17">
        <v>0</v>
      </c>
      <c r="L55" t="n" s="17">
        <v>0</v>
      </c>
      <c r="M55" t="n" s="16">
        <v>0</v>
      </c>
      <c r="N55" t="n" s="17">
        <v>0</v>
      </c>
      <c r="O55" t="n" s="17">
        <v>0</v>
      </c>
      <c r="P55" t="n" s="17">
        <v>0</v>
      </c>
      <c r="Q55" t="n" s="18">
        <v>0</v>
      </c>
      <c r="R55" t="n" s="16">
        <v>0</v>
      </c>
      <c r="S55" t="n" s="16">
        <v>0</v>
      </c>
      <c r="T55" t="n" s="16">
        <v>0</v>
      </c>
    </row>
    <row r="56" hidden="0" ht="15" customHeight="1" spans="1:1">
      <c r="A56" t="s">
        <v>23</v>
      </c>
      <c r="B56" t="str" s="15">
        <f>HYPERLINK("https://www.amazon.in/dp/B072KMQR1D", "B072KMQR1D")</f>
      </c>
      <c r="C56" t="str" s="15">
        <f>HYPERLINK("https://www.amazon.in/dp/Get IT Dual Pattern Baby Sleeping Bed Set (Yellow)", "Get IT Dual Pattern Baby Sleeping Bed Set (Yellow)")</f>
      </c>
      <c r="D56" t="n" s="16">
        <v>0</v>
      </c>
      <c r="E56" t="n" s="16">
        <v>0</v>
      </c>
      <c r="F56" t="n" s="17">
        <v>4</v>
      </c>
      <c r="G56" t="n" s="17">
        <v>5</v>
      </c>
      <c r="H56" t="n" s="17">
        <v>1</v>
      </c>
      <c r="I56" t="n" s="18">
        <v>0</v>
      </c>
      <c r="J56" t="s">
        <v>22</v>
      </c>
      <c r="K56" t="n" s="17">
        <v>4</v>
      </c>
      <c r="L56" t="n" s="17">
        <v>3.71</v>
      </c>
      <c r="M56" t="n" s="16">
        <v>0</v>
      </c>
      <c r="N56" t="n" s="17">
        <v>0</v>
      </c>
      <c r="O56" t="n" s="17">
        <v>0</v>
      </c>
      <c r="P56" t="n" s="17">
        <v>0</v>
      </c>
      <c r="Q56" t="n" s="18">
        <v>0</v>
      </c>
      <c r="R56" t="n" s="16">
        <v>0</v>
      </c>
      <c r="S56" t="n" s="16">
        <v>0</v>
      </c>
      <c r="T56" t="n" s="16">
        <v>0</v>
      </c>
    </row>
    <row r="57" hidden="0" ht="15" customHeight="1" spans="1:1">
      <c r="A57" t="s">
        <v>21</v>
      </c>
      <c r="B57" t="str" s="15">
        <f>HYPERLINK("https://www.amazon.in/dp/B073F9RCLP", "B073F9RCLP")</f>
      </c>
      <c r="C57" t="str" s="15">
        <f>HYPERLINK("https://www.amazon.in/dp/Get IT U-Shaped Pregnancy Pillow (Orange)", "Get IT U-Shaped Pregnancy Pillow (Orange)")</f>
      </c>
      <c r="D57" t="n" s="16">
        <v>0</v>
      </c>
      <c r="E57" t="n" s="16">
        <v>0</v>
      </c>
      <c r="F57" t="n" s="17">
        <v>1</v>
      </c>
      <c r="G57" t="n" s="17">
        <v>1</v>
      </c>
      <c r="H57" t="n" s="17">
        <v>0</v>
      </c>
      <c r="I57" t="n" s="18">
        <v>0</v>
      </c>
      <c r="J57" t="s">
        <v>22</v>
      </c>
      <c r="K57" t="n" s="17">
        <v>3</v>
      </c>
      <c r="L57" t="n" s="17">
        <v>2.89</v>
      </c>
      <c r="M57" t="n" s="16">
        <v>0</v>
      </c>
      <c r="N57" t="n" s="17">
        <v>0</v>
      </c>
      <c r="O57" t="n" s="17">
        <v>0</v>
      </c>
      <c r="P57" t="n" s="17">
        <v>0</v>
      </c>
      <c r="Q57" t="n" s="18">
        <v>0</v>
      </c>
      <c r="R57" t="n" s="16">
        <v>0</v>
      </c>
      <c r="S57" t="n" s="16">
        <v>0</v>
      </c>
      <c r="T57" t="n" s="16">
        <v>0</v>
      </c>
    </row>
    <row r="58" hidden="0" ht="15" customHeight="1" spans="1:1">
      <c r="A58" t="s">
        <v>21</v>
      </c>
      <c r="B58" t="str" s="15">
        <f>HYPERLINK("https://www.amazon.in/dp/B07NLH84FM", "B07NLH84FM")</f>
      </c>
      <c r="C58" t="str" s="15">
        <f>HYPERLINK("https://www.amazon.in/dp/Get It Long Body Rectangular Microfiber Pillow (Cryan Blue, 20"x48" inches (i.e 50x120 Cms) [4 ft Long])", "Get It Long Body Rectangular Microfiber Pillow (Cryan Blue, 20"x48" inches (i.e 50x120 Cms) [4 ft Long])")</f>
      </c>
      <c r="D58" t="n" s="16">
        <v>0</v>
      </c>
      <c r="E58" t="n" s="16">
        <v>0</v>
      </c>
      <c r="F58" t="n" s="17">
        <v>5</v>
      </c>
      <c r="G58" t="n" s="17">
        <v>6</v>
      </c>
      <c r="H58" t="n" s="17">
        <v>1</v>
      </c>
      <c r="I58" t="n" s="18">
        <v>0</v>
      </c>
      <c r="J58" t="s">
        <v>22</v>
      </c>
      <c r="K58" t="n" s="17">
        <v>5</v>
      </c>
      <c r="L58" t="n" s="17">
        <v>4.84</v>
      </c>
      <c r="M58" t="n" s="16">
        <v>0</v>
      </c>
      <c r="N58" t="n" s="17">
        <v>0</v>
      </c>
      <c r="O58" t="n" s="17">
        <v>0</v>
      </c>
      <c r="P58" t="n" s="17">
        <v>0</v>
      </c>
      <c r="Q58" t="n" s="18">
        <v>0</v>
      </c>
      <c r="R58" t="n" s="16">
        <v>0</v>
      </c>
      <c r="S58" t="n" s="16">
        <v>0</v>
      </c>
      <c r="T58" t="n" s="16">
        <v>0</v>
      </c>
    </row>
    <row r="59" hidden="0" ht="15" customHeight="1" spans="1:1">
      <c r="A59" t="s">
        <v>24</v>
      </c>
      <c r="B59" t="str" s="15">
        <f>HYPERLINK("https://www.amazon.in/dp/B07NHV2B74", "B07NHV2B74")</f>
      </c>
      <c r="C59" t="str" s="15">
        <f>HYPERLINK("https://www.amazon.in/dp/GET IT Nest Baby Sleeping Bed Premium (Extra Large 100% Cotton) (Standard, Pink)", "GET IT Nest Baby Sleeping Bed Premium (Extra Large 100% Cotton) (Standard, Pink)")</f>
      </c>
      <c r="D59" t="n" s="16">
        <v>0</v>
      </c>
      <c r="E59" t="n" s="16">
        <v>0</v>
      </c>
      <c r="F59" t="n" s="17">
        <v>5</v>
      </c>
      <c r="G59" t="n" s="17">
        <v>7</v>
      </c>
      <c r="H59" t="n" s="17">
        <v>1</v>
      </c>
      <c r="I59" t="n" s="18">
        <v>0</v>
      </c>
      <c r="J59" t="s">
        <v>22</v>
      </c>
      <c r="K59" t="n" s="17">
        <v>5</v>
      </c>
      <c r="L59" t="n" s="17">
        <v>5</v>
      </c>
      <c r="M59" t="n" s="16">
        <v>0</v>
      </c>
      <c r="N59" t="n" s="17">
        <v>0</v>
      </c>
      <c r="O59" t="n" s="17">
        <v>0</v>
      </c>
      <c r="P59" t="n" s="17">
        <v>0</v>
      </c>
      <c r="Q59" t="n" s="18">
        <v>0</v>
      </c>
      <c r="R59" t="n" s="16">
        <v>0</v>
      </c>
      <c r="S59" t="n" s="16">
        <v>0</v>
      </c>
      <c r="T59" t="n" s="16">
        <v>0</v>
      </c>
    </row>
    <row r="60" hidden="0" ht="15" customHeight="1" spans="1:1">
      <c r="A60" t="s">
        <v>21</v>
      </c>
      <c r="B60" t="str" s="15">
        <f>HYPERLINK("https://www.amazon.in/dp/B0DG93125K", "B0DG93125K")</f>
      </c>
      <c r="C60" t="str" s="15">
        <f>HYPERLINK("https://www.amazon.in/dp/GET IT Breastfeeding Cover Premium Multi Usage Baby Nursing Cover Apron Model for New Born Adjustable Strap Easy Use in Travel", "GET IT Breastfeeding Cover Premium Multi Usage Baby Nursing Cover Apron Model for New Born Adjustable Strap Easy Use in Travel")</f>
      </c>
      <c r="D60" t="n" s="16">
        <v>0</v>
      </c>
      <c r="E60" t="n" s="16">
        <v>0</v>
      </c>
      <c r="F60" t="n" s="17">
        <v>5</v>
      </c>
      <c r="G60" t="n" s="17">
        <v>8</v>
      </c>
      <c r="H60" t="n" s="17">
        <v>0.88</v>
      </c>
      <c r="I60" t="n" s="18">
        <v>0</v>
      </c>
      <c r="J60" t="s">
        <v>22</v>
      </c>
      <c r="K60" t="n" s="17">
        <v>0</v>
      </c>
      <c r="L60" t="n" s="17">
        <v>0</v>
      </c>
      <c r="M60" t="n" s="16">
        <v>0</v>
      </c>
      <c r="N60" t="n" s="17">
        <v>0</v>
      </c>
      <c r="O60" t="n" s="17">
        <v>0</v>
      </c>
      <c r="P60" t="n" s="17">
        <v>0</v>
      </c>
      <c r="Q60" t="n" s="18">
        <v>0</v>
      </c>
      <c r="R60" t="n" s="16">
        <v>0</v>
      </c>
      <c r="S60" t="n" s="16">
        <v>0</v>
      </c>
      <c r="T60" t="n" s="16">
        <v>0</v>
      </c>
    </row>
    <row r="61" hidden="0" ht="15" customHeight="1" spans="1:1">
      <c r="A61" t="s">
        <v>21</v>
      </c>
      <c r="B61" t="str" s="15">
        <f>HYPERLINK("https://www.amazon.in/dp/B0D58JV7XY", "B0D58JV7XY")</f>
      </c>
      <c r="C61" t="str" s="15">
        <f>HYPERLINK("https://www.amazon.in/dp/GET IT Premium Multi Usage Baby Breastfeeding Cover Nursing Cover for New Born Adjustable Strap Easy Use in Travel - Red Checked", "GET IT Premium Multi Usage Baby Breastfeeding Cover Nursing Cover for New Born Adjustable Strap Easy Use in Travel - Red Checked")</f>
      </c>
      <c r="D61" t="n" s="16">
        <v>0</v>
      </c>
      <c r="E61" t="n" s="16">
        <v>0</v>
      </c>
      <c r="F61" t="n" s="17">
        <v>1</v>
      </c>
      <c r="G61" t="n" s="17">
        <v>1</v>
      </c>
      <c r="H61" t="n" s="17">
        <v>1</v>
      </c>
      <c r="I61" t="n" s="18">
        <v>0</v>
      </c>
      <c r="J61" t="s">
        <v>22</v>
      </c>
      <c r="K61" t="n" s="17">
        <v>2</v>
      </c>
      <c r="L61" t="n" s="17">
        <v>2</v>
      </c>
      <c r="M61" t="n" s="16">
        <v>0</v>
      </c>
      <c r="N61" t="n" s="17">
        <v>0</v>
      </c>
      <c r="O61" t="n" s="17">
        <v>0</v>
      </c>
      <c r="P61" t="n" s="17">
        <v>0</v>
      </c>
      <c r="Q61" t="n" s="18">
        <v>0</v>
      </c>
      <c r="R61" t="n" s="16">
        <v>0</v>
      </c>
      <c r="S61" t="n" s="16">
        <v>0</v>
      </c>
      <c r="T61" t="n" s="16">
        <v>0</v>
      </c>
    </row>
    <row r="62" hidden="0" ht="15" customHeight="1" spans="1:1">
      <c r="A62" t="s">
        <v>21</v>
      </c>
      <c r="B62" t="str" s="15">
        <f>HYPERLINK("https://www.amazon.in/dp/B07HWQVTCW", "B07HWQVTCW")</f>
      </c>
      <c r="C62" t="str" s="15">
        <f>HYPERLINK("https://www.amazon.in/dp/Get It Snoogle C Shape Pregnancy Pillow - Pink, Polymer Fiber (Cryan Blue)", "Get It Snoogle C Shape Pregnancy Pillow - Pink, Polymer Fiber (Cryan Blue)")</f>
      </c>
      <c r="D62" t="n" s="16">
        <v>0</v>
      </c>
      <c r="E62" t="n" s="16">
        <v>0</v>
      </c>
      <c r="F62" t="n" s="17">
        <v>1</v>
      </c>
      <c r="G62" t="n" s="17">
        <v>1</v>
      </c>
      <c r="H62" t="n" s="17">
        <v>0</v>
      </c>
      <c r="I62" t="n" s="18">
        <v>0</v>
      </c>
      <c r="J62" t="s">
        <v>22</v>
      </c>
      <c r="K62" t="n" s="17">
        <v>0</v>
      </c>
      <c r="L62" t="n" s="17">
        <v>0</v>
      </c>
      <c r="M62" t="n" s="16">
        <v>0</v>
      </c>
      <c r="N62" t="n" s="17">
        <v>0</v>
      </c>
      <c r="O62" t="n" s="17">
        <v>0</v>
      </c>
      <c r="P62" t="n" s="17">
        <v>0</v>
      </c>
      <c r="Q62" t="n" s="18">
        <v>0</v>
      </c>
      <c r="R62" t="n" s="16">
        <v>0</v>
      </c>
      <c r="S62" t="n" s="16">
        <v>0</v>
      </c>
      <c r="T62" t="n" s="16">
        <v>0</v>
      </c>
    </row>
    <row r="63" hidden="0" ht="15" customHeight="1" spans="1:1">
      <c r="A63" t="s">
        <v>21</v>
      </c>
      <c r="B63" t="str" s="15">
        <f>HYPERLINK("https://www.amazon.in/dp/B07HX4MCSH", "B07HX4MCSH")</f>
      </c>
      <c r="C63" t="str" s="15">
        <f>HYPERLINK("https://www.amazon.in/dp/GET IT U Shape Pregnancy Maternity Pillow Cryan Blue (Red, Extra Large)", "GET IT U Shape Pregnancy Maternity Pillow Cryan Blue (Red, Extra Large)")</f>
      </c>
      <c r="D63" t="n" s="16">
        <v>0</v>
      </c>
      <c r="E63" t="n" s="16">
        <v>0</v>
      </c>
      <c r="F63" t="n" s="17">
        <v>1</v>
      </c>
      <c r="G63" t="n" s="17">
        <v>1</v>
      </c>
      <c r="H63" t="n" s="17">
        <v>1</v>
      </c>
      <c r="I63" t="n" s="18">
        <v>0</v>
      </c>
      <c r="J63" t="s">
        <v>22</v>
      </c>
      <c r="K63" t="n" s="17">
        <v>3</v>
      </c>
      <c r="L63" t="n" s="17">
        <v>2.89</v>
      </c>
      <c r="M63" t="n" s="16">
        <v>0</v>
      </c>
      <c r="N63" t="n" s="17">
        <v>0</v>
      </c>
      <c r="O63" t="n" s="17">
        <v>0</v>
      </c>
      <c r="P63" t="n" s="17">
        <v>0</v>
      </c>
      <c r="Q63" t="n" s="18">
        <v>0</v>
      </c>
      <c r="R63" t="n" s="16">
        <v>0</v>
      </c>
      <c r="S63" t="n" s="16">
        <v>0</v>
      </c>
      <c r="T63" t="n" s="16">
        <v>0</v>
      </c>
    </row>
    <row r="64" hidden="0" ht="15" customHeight="1" spans="1:1">
      <c r="A64" t="s">
        <v>21</v>
      </c>
      <c r="B64" t="str" s="15">
        <f>HYPERLINK("https://www.amazon.in/dp/B07NLGYK66", "B07NLGYK66")</f>
      </c>
      <c r="C64" t="str" s="15">
        <f>HYPERLINK("https://www.amazon.in/dp/GET IT Long Body Rectangular Microfiber Pillow (Red, 20"x48" inches (i.e 50x120 Cms) [4 ft Long])", "GET IT Long Body Rectangular Microfiber Pillow (Red, 20"x48" inches (i.e 50x120 Cms) [4 ft Long])")</f>
      </c>
      <c r="D64" t="n" s="16">
        <v>0</v>
      </c>
      <c r="E64" t="n" s="16">
        <v>0</v>
      </c>
      <c r="F64" t="n" s="17">
        <v>11</v>
      </c>
      <c r="G64" t="n" s="17">
        <v>11</v>
      </c>
      <c r="H64" t="n" s="17">
        <v>1</v>
      </c>
      <c r="I64" t="n" s="18">
        <v>0</v>
      </c>
      <c r="J64" t="s">
        <v>22</v>
      </c>
      <c r="K64" t="n" s="17">
        <v>5</v>
      </c>
      <c r="L64" t="n" s="17">
        <v>4.84</v>
      </c>
      <c r="M64" t="n" s="16">
        <v>0</v>
      </c>
      <c r="N64" t="n" s="17">
        <v>0</v>
      </c>
      <c r="O64" t="n" s="17">
        <v>0</v>
      </c>
      <c r="P64" t="n" s="17">
        <v>0</v>
      </c>
      <c r="Q64" t="n" s="18">
        <v>0</v>
      </c>
      <c r="R64" t="n" s="16">
        <v>0</v>
      </c>
      <c r="S64" t="n" s="16">
        <v>0</v>
      </c>
      <c r="T64" t="n" s="16">
        <v>0</v>
      </c>
    </row>
    <row r="65" hidden="0" ht="15" customHeight="1" spans="1:1">
      <c r="A65" t="s">
        <v>21</v>
      </c>
      <c r="B65" t="str" s="15">
        <f>HYPERLINK("https://www.amazon.in/dp/B0DG91NCXN", "B0DG91NCXN")</f>
      </c>
      <c r="C65" t="str" s="15">
        <f>HYPERLINK("https://www.amazon.in/dp/GET IT Wedge Orthopedic Pillow with Detachable Cover Acid Reflux Memory Foam Support Firm Pillow for Sleeping,Leg Elevator,Back &amp; Neck Pain Relief Christmas Tree, 22inch X 20 inch X 11 Inch", "GET IT Wedge Orthopedic Pillow with Detachable Cover Acid Reflux Memory Foam Support Firm Pillow for Sleeping,Leg Elevator,Back &amp; Neck Pain Relief Christmas Tree, 22inch X 20 inch X 11 Inch")</f>
      </c>
      <c r="D65" t="n" s="16">
        <v>0</v>
      </c>
      <c r="E65" t="n" s="16">
        <v>0</v>
      </c>
      <c r="F65" t="n" s="17">
        <v>5</v>
      </c>
      <c r="G65" t="n" s="17">
        <v>6</v>
      </c>
      <c r="H65" t="n" s="17">
        <v>1</v>
      </c>
      <c r="I65" t="n" s="18">
        <v>0</v>
      </c>
      <c r="J65" t="s">
        <v>22</v>
      </c>
      <c r="K65" t="n" s="17">
        <v>0</v>
      </c>
      <c r="L65" t="n" s="17">
        <v>0</v>
      </c>
      <c r="M65" t="n" s="16">
        <v>0</v>
      </c>
      <c r="N65" t="n" s="17">
        <v>0</v>
      </c>
      <c r="O65" t="n" s="17">
        <v>0</v>
      </c>
      <c r="P65" t="n" s="17">
        <v>0</v>
      </c>
      <c r="Q65" t="n" s="18">
        <v>0</v>
      </c>
      <c r="R65" t="n" s="16">
        <v>0</v>
      </c>
      <c r="S65" t="n" s="16">
        <v>0</v>
      </c>
      <c r="T65" t="n" s="16">
        <v>0</v>
      </c>
    </row>
    <row r="66" hidden="0" ht="15" customHeight="1" spans="1:1">
      <c r="A66" t="s">
        <v>23</v>
      </c>
      <c r="B66" t="str" s="15">
        <f>HYPERLINK("https://www.amazon.in/dp/B07P27KVCX", "B07P27KVCX")</f>
      </c>
      <c r="C66" t="str" s="15">
        <f>HYPERLINK("https://www.amazon.in/dp/GET IT Feeding Nursing Pillow Micro Fibre (Pink Beige, Standard Size)", "GET IT Feeding Nursing Pillow Micro Fibre (Pink Beige, Standard Size)")</f>
      </c>
      <c r="D66" t="n" s="16">
        <v>0</v>
      </c>
      <c r="E66" t="n" s="16">
        <v>0</v>
      </c>
      <c r="F66" t="n" s="17">
        <v>47</v>
      </c>
      <c r="G66" t="n" s="17">
        <v>54</v>
      </c>
      <c r="H66" t="n" s="17">
        <v>1</v>
      </c>
      <c r="I66" t="n" s="18">
        <v>0</v>
      </c>
      <c r="J66" t="s">
        <v>22</v>
      </c>
      <c r="K66" t="n" s="17">
        <v>4</v>
      </c>
      <c r="L66" t="n" s="17">
        <v>4.23</v>
      </c>
      <c r="M66" t="n" s="16">
        <v>0</v>
      </c>
      <c r="N66" t="n" s="17">
        <v>0</v>
      </c>
      <c r="O66" t="n" s="17">
        <v>0</v>
      </c>
      <c r="P66" t="n" s="17">
        <v>0</v>
      </c>
      <c r="Q66" t="n" s="18">
        <v>0</v>
      </c>
      <c r="R66" t="n" s="16">
        <v>0</v>
      </c>
      <c r="S66" t="n" s="16">
        <v>0</v>
      </c>
      <c r="T66" t="n" s="16">
        <v>0</v>
      </c>
    </row>
    <row r="67" hidden="0" ht="15" customHeight="1" spans="1:1">
      <c r="A67" t="s">
        <v>21</v>
      </c>
      <c r="B67" t="str" s="15">
        <f>HYPERLINK("https://www.amazon.in/dp/B07NY3MQH1", "B07NY3MQH1")</f>
      </c>
      <c r="C67" t="str" s="15">
        <f>HYPERLINK("https://www.amazon.in/dp/GET IT Feeding Nursing Pillow Micro Fibre withfrills (Purple, Extra Large)", "GET IT Feeding Nursing Pillow Micro Fibre withfrills (Purple, Extra Large)")</f>
      </c>
      <c r="D67" t="n" s="16">
        <v>0</v>
      </c>
      <c r="E67" t="n" s="16">
        <v>0</v>
      </c>
      <c r="F67" t="n" s="17">
        <v>24</v>
      </c>
      <c r="G67" t="n" s="17">
        <v>25</v>
      </c>
      <c r="H67" t="n" s="17">
        <v>1</v>
      </c>
      <c r="I67" t="n" s="18">
        <v>0</v>
      </c>
      <c r="J67" t="s">
        <v>22</v>
      </c>
      <c r="K67" t="n" s="17">
        <v>4</v>
      </c>
      <c r="L67" t="n" s="17">
        <v>4.23</v>
      </c>
      <c r="M67" t="n" s="16">
        <v>0</v>
      </c>
      <c r="N67" t="n" s="17">
        <v>0</v>
      </c>
      <c r="O67" t="n" s="17">
        <v>0</v>
      </c>
      <c r="P67" t="n" s="17">
        <v>0</v>
      </c>
      <c r="Q67" t="n" s="18">
        <v>0</v>
      </c>
      <c r="R67" t="n" s="16">
        <v>0</v>
      </c>
      <c r="S67" t="n" s="16">
        <v>0</v>
      </c>
      <c r="T67" t="n" s="16">
        <v>0</v>
      </c>
    </row>
    <row r="68" hidden="0" ht="15" customHeight="1" spans="1:1">
      <c r="A68" t="s">
        <v>23</v>
      </c>
      <c r="B68" t="str" s="15">
        <f>HYPERLINK("https://www.amazon.in/dp/B01AW2HREC", "B01AW2HREC")</f>
      </c>
      <c r="C68" t="str" s="15">
        <f>HYPERLINK("https://www.amazon.in/dp/GET IT Snoogle C Shape Pregnancy Pillow - Pink, Polymer Fiber", "GET IT Snoogle C Shape Pregnancy Pillow - Pink, Polymer Fiber")</f>
      </c>
      <c r="D68" t="n" s="16">
        <v>0</v>
      </c>
      <c r="E68" t="n" s="16">
        <v>0</v>
      </c>
      <c r="F68" t="n" s="17">
        <v>2</v>
      </c>
      <c r="G68" t="n" s="17">
        <v>3</v>
      </c>
      <c r="H68" t="n" s="17">
        <v>1</v>
      </c>
      <c r="I68" t="n" s="18">
        <v>0</v>
      </c>
      <c r="J68" t="s">
        <v>22</v>
      </c>
      <c r="K68" t="n" s="17">
        <v>5</v>
      </c>
      <c r="L68" t="n" s="17">
        <v>4.6</v>
      </c>
      <c r="M68" t="n" s="16">
        <v>0</v>
      </c>
      <c r="N68" t="n" s="17">
        <v>0</v>
      </c>
      <c r="O68" t="n" s="17">
        <v>0</v>
      </c>
      <c r="P68" t="n" s="17">
        <v>0</v>
      </c>
      <c r="Q68" t="n" s="18">
        <v>0</v>
      </c>
      <c r="R68" t="n" s="16">
        <v>0</v>
      </c>
      <c r="S68" t="n" s="16">
        <v>0</v>
      </c>
      <c r="T68" t="n" s="16">
        <v>0</v>
      </c>
    </row>
    <row r="69" hidden="0" ht="15" customHeight="1" spans="1:1">
      <c r="A69" t="s">
        <v>23</v>
      </c>
      <c r="B69" t="str" s="15">
        <f>HYPERLINK("https://www.amazon.in/dp/B0DG5SW8HY", "B0DG5SW8HY")</f>
      </c>
      <c r="C69" t="str" s="15">
        <f>HYPERLINK("https://www.amazon.in/dp/GET IT New Born Adjustable Baby Cradle Metal Hanger Cradle for Baby/Kids Window Cradle Metal Window Cradle Hanger_P", "GET IT New Born Adjustable Baby Cradle Metal Hanger Cradle for Baby/Kids Window Cradle Metal Window Cradle Hanger_P")</f>
      </c>
      <c r="D69" t="n" s="16">
        <v>0</v>
      </c>
      <c r="E69" t="n" s="16">
        <v>0</v>
      </c>
      <c r="F69" t="n" s="17">
        <v>1</v>
      </c>
      <c r="G69" t="n" s="17">
        <v>1</v>
      </c>
      <c r="H69" t="n" s="17">
        <v>0</v>
      </c>
      <c r="I69" t="n" s="18">
        <v>0</v>
      </c>
      <c r="J69" t="s">
        <v>22</v>
      </c>
      <c r="K69" t="n" s="17">
        <v>4</v>
      </c>
      <c r="L69" t="n" s="17">
        <v>4.19</v>
      </c>
      <c r="M69" t="n" s="16">
        <v>0</v>
      </c>
      <c r="N69" t="n" s="17">
        <v>0</v>
      </c>
      <c r="O69" t="n" s="17">
        <v>0</v>
      </c>
      <c r="P69" t="n" s="17">
        <v>0</v>
      </c>
      <c r="Q69" t="n" s="18">
        <v>0</v>
      </c>
      <c r="R69" t="n" s="16">
        <v>0</v>
      </c>
      <c r="S69" t="n" s="16">
        <v>0</v>
      </c>
      <c r="T69" t="n" s="16">
        <v>0</v>
      </c>
    </row>
    <row r="70" hidden="0" ht="15" customHeight="1" spans="1:1">
      <c r="A70" t="s">
        <v>21</v>
      </c>
      <c r="B70" t="str" s="15">
        <f>HYPERLINK("https://www.amazon.in/dp/B0DG8ZVJFR", "B0DG8ZVJFR")</f>
      </c>
      <c r="C70" t="str" s="15">
        <f>HYPERLINK("https://www.amazon.in/dp/GET IT Breastfeeding Pillow Cover Premium Multi Usage Baby Nursing Pillow Cover for Newborn 360 Degree Protection - Orange Flower", "GET IT Breastfeeding Pillow Cover Premium Multi Usage Baby Nursing Pillow Cover for Newborn 360 Degree Protection - Orange Flower")</f>
      </c>
      <c r="D70" t="n" s="16">
        <v>0</v>
      </c>
      <c r="E70" t="n" s="16">
        <v>0</v>
      </c>
      <c r="F70" t="n" s="17">
        <v>2</v>
      </c>
      <c r="G70" t="n" s="17">
        <v>2</v>
      </c>
      <c r="H70" t="n" s="17">
        <v>1</v>
      </c>
      <c r="I70" t="n" s="18">
        <v>0</v>
      </c>
      <c r="J70" t="s">
        <v>22</v>
      </c>
      <c r="K70" t="n" s="17">
        <v>0</v>
      </c>
      <c r="L70" t="n" s="17">
        <v>0</v>
      </c>
      <c r="M70" t="n" s="16">
        <v>0</v>
      </c>
      <c r="N70" t="n" s="17">
        <v>0</v>
      </c>
      <c r="O70" t="n" s="17">
        <v>0</v>
      </c>
      <c r="P70" t="n" s="17">
        <v>0</v>
      </c>
      <c r="Q70" t="n" s="18">
        <v>0</v>
      </c>
      <c r="R70" t="n" s="16">
        <v>0</v>
      </c>
      <c r="S70" t="n" s="16">
        <v>0</v>
      </c>
      <c r="T70" t="n" s="16">
        <v>0</v>
      </c>
    </row>
    <row r="71" hidden="0" ht="15" customHeight="1" spans="1:1">
      <c r="A71" t="s">
        <v>21</v>
      </c>
      <c r="B71" t="str" s="15">
        <f>HYPERLINK("https://www.amazon.in/dp/B0DG5S6GRX", "B0DG5S6GRX")</f>
      </c>
      <c r="C71" t="str" s="15">
        <f>HYPERLINK("https://www.amazon.in/dp/GET IT Cotton New Born Baby Breast Feeding Pillow_P", "GET IT Cotton New Born Baby Breast Feeding Pillow_P")</f>
      </c>
      <c r="D71" t="n" s="16">
        <v>0</v>
      </c>
      <c r="E71" t="n" s="16">
        <v>0</v>
      </c>
      <c r="F71" t="n" s="17">
        <v>2</v>
      </c>
      <c r="G71" t="n" s="17">
        <v>2</v>
      </c>
      <c r="H71" t="n" s="17">
        <v>0</v>
      </c>
      <c r="I71" t="n" s="18">
        <v>0</v>
      </c>
      <c r="J71" t="s">
        <v>22</v>
      </c>
      <c r="K71" t="n" s="17">
        <v>4</v>
      </c>
      <c r="L71" t="n" s="17">
        <v>4.23</v>
      </c>
      <c r="M71" t="n" s="16">
        <v>0</v>
      </c>
      <c r="N71" t="n" s="17">
        <v>0</v>
      </c>
      <c r="O71" t="n" s="17">
        <v>0</v>
      </c>
      <c r="P71" t="n" s="17">
        <v>0</v>
      </c>
      <c r="Q71" t="n" s="18">
        <v>0</v>
      </c>
      <c r="R71" t="n" s="16">
        <v>0</v>
      </c>
      <c r="S71" t="n" s="16">
        <v>0</v>
      </c>
      <c r="T71" t="n" s="16">
        <v>0</v>
      </c>
    </row>
    <row r="72" hidden="0" ht="15" customHeight="1" spans="1:1">
      <c r="A72" t="s">
        <v>23</v>
      </c>
      <c r="B72" t="str" s="15">
        <f>HYPERLINK("https://www.amazon.in/dp/B07P13KR4W", "B07P13KR4W")</f>
      </c>
      <c r="C72" t="str" s="15">
        <f>HYPERLINK("https://www.amazon.in/dp/Get IT Cotton 5-in-1 Feeding Pillow with Detachable Cover | New Born Portable Breast Feeding Pillow for Baby | Infant Support for Baby and Mom (Purple with Beige)", "Get IT Cotton 5-in-1 Feeding Pillow with Detachable Cover | New Born Portable Breast Feeding Pillow for Baby | Infant Support for Baby and Mom (Purple with Beige)")</f>
      </c>
      <c r="D72" t="n" s="16">
        <v>0</v>
      </c>
      <c r="E72" t="n" s="16">
        <v>0</v>
      </c>
      <c r="F72" t="n" s="17">
        <v>17</v>
      </c>
      <c r="G72" t="n" s="17">
        <v>18</v>
      </c>
      <c r="H72" t="n" s="17">
        <v>1</v>
      </c>
      <c r="I72" t="n" s="18">
        <v>0</v>
      </c>
      <c r="J72" t="s">
        <v>22</v>
      </c>
      <c r="K72" t="n" s="17">
        <v>4</v>
      </c>
      <c r="L72" t="n" s="17">
        <v>4.23</v>
      </c>
      <c r="M72" t="n" s="16">
        <v>0</v>
      </c>
      <c r="N72" t="n" s="17">
        <v>0</v>
      </c>
      <c r="O72" t="n" s="17">
        <v>0</v>
      </c>
      <c r="P72" t="n" s="17">
        <v>0</v>
      </c>
      <c r="Q72" t="n" s="18">
        <v>0</v>
      </c>
      <c r="R72" t="n" s="16">
        <v>0</v>
      </c>
      <c r="S72" t="n" s="16">
        <v>0</v>
      </c>
      <c r="T72" t="n" s="16">
        <v>0</v>
      </c>
    </row>
    <row r="73" hidden="0" ht="15" customHeight="1" spans="1:1">
      <c r="A73" t="s">
        <v>21</v>
      </c>
      <c r="B73" t="str" s="15">
        <f>HYPERLINK("https://www.amazon.in/dp/B07S95D5PS", "B07S95D5PS")</f>
      </c>
      <c r="C73" t="str" s="15">
        <f>HYPERLINK("https://www.amazon.in/dp/GET IT Brand Wedge Orthopedic Pillow |Removable Cover Zip | Acid Reflux for Sleeping,Leg Elevator,Back &amp; Neck Pain Relief, Pregnancy Maternity, Post Surgery - White", "GET IT Brand Wedge Orthopedic Pillow |Removable Cover Zip | Acid Reflux for Sleeping,Leg Elevator,Back &amp; Neck Pain Relief, Pregnancy Maternity, Post Surgery - White")</f>
      </c>
      <c r="D73" t="n" s="16">
        <v>0</v>
      </c>
      <c r="E73" t="n" s="16">
        <v>0</v>
      </c>
      <c r="F73" t="n" s="17">
        <v>4</v>
      </c>
      <c r="G73" t="n" s="17">
        <v>4</v>
      </c>
      <c r="H73" t="n" s="17">
        <v>1</v>
      </c>
      <c r="I73" t="n" s="18">
        <v>0</v>
      </c>
      <c r="J73" t="s">
        <v>22</v>
      </c>
      <c r="K73" t="n" s="17">
        <v>4</v>
      </c>
      <c r="L73" t="n" s="17">
        <v>3.91</v>
      </c>
      <c r="M73" t="n" s="16">
        <v>0</v>
      </c>
      <c r="N73" t="n" s="17">
        <v>0</v>
      </c>
      <c r="O73" t="n" s="17">
        <v>0</v>
      </c>
      <c r="P73" t="n" s="17">
        <v>0</v>
      </c>
      <c r="Q73" t="n" s="18">
        <v>0</v>
      </c>
      <c r="R73" t="n" s="16">
        <v>0</v>
      </c>
      <c r="S73" t="n" s="16">
        <v>0</v>
      </c>
      <c r="T73" t="n" s="16">
        <v>0</v>
      </c>
    </row>
    <row r="74" hidden="0" ht="15" customHeight="1" spans="1:1">
      <c r="A74" t="s">
        <v>21</v>
      </c>
      <c r="B74" t="str" s="15">
        <f>HYPERLINK("https://www.amazon.in/dp/B0DG91VRLR", "B0DG91VRLR")</f>
      </c>
      <c r="C74" t="str" s="15">
        <f>HYPERLINK("https://www.amazon.in/dp/GET IT Breastfeeding Pillow Cotton 5-in-1 Feeding Pillow with Detachable Cover, New Born Portable Pillow for Baby and Mom -(Yellow)", "GET IT Breastfeeding Pillow Cotton 5-in-1 Feeding Pillow with Detachable Cover, New Born Portable Pillow for Baby and Mom -(Yellow)")</f>
      </c>
      <c r="D74" t="n" s="16">
        <v>0</v>
      </c>
      <c r="E74" t="n" s="16">
        <v>0</v>
      </c>
      <c r="F74" t="n" s="17">
        <v>4</v>
      </c>
      <c r="G74" t="n" s="17">
        <v>4</v>
      </c>
      <c r="H74" t="n" s="17">
        <v>1</v>
      </c>
      <c r="I74" t="n" s="18">
        <v>0</v>
      </c>
      <c r="J74" t="s">
        <v>22</v>
      </c>
      <c r="K74" t="n" s="17">
        <v>0</v>
      </c>
      <c r="L74" t="n" s="17">
        <v>0</v>
      </c>
      <c r="M74" t="n" s="16">
        <v>0</v>
      </c>
      <c r="N74" t="n" s="17">
        <v>0</v>
      </c>
      <c r="O74" t="n" s="17">
        <v>0</v>
      </c>
      <c r="P74" t="n" s="17">
        <v>0</v>
      </c>
      <c r="Q74" t="n" s="18">
        <v>0</v>
      </c>
      <c r="R74" t="n" s="16">
        <v>0</v>
      </c>
      <c r="S74" t="n" s="16">
        <v>0</v>
      </c>
      <c r="T74" t="n" s="16">
        <v>0</v>
      </c>
    </row>
    <row r="75" hidden="0" ht="15" customHeight="1" spans="1:1">
      <c r="A75" t="s">
        <v>21</v>
      </c>
      <c r="B75" t="str" s="15">
        <f>HYPERLINK("https://www.amazon.in/dp/B09XJ4KLB8", "B09XJ4KLB8")</f>
      </c>
      <c r="C75" t="str" s="15">
        <f>HYPERLINK("https://www.amazon.in/dp/GET IT Wedge Orthopedic Pillow with Detachable Cover Acid Reflux Soft Foam Support for Sleeping,Leg Elevator,Back &amp; Neck Pain Relief (Navy Blue Diamond, 24 inch X 24 inch X 8 Inch)", "GET IT Wedge Orthopedic Pillow with Detachable Cover Acid Reflux Soft Foam Support for Sleeping,Leg Elevator,Back &amp; Neck Pain Relief (Navy Blue Diamond, 24 inch X 24 inch X 8 Inch)")</f>
      </c>
      <c r="D75" t="n" s="16">
        <v>0</v>
      </c>
      <c r="E75" t="n" s="16">
        <v>0</v>
      </c>
      <c r="F75" t="n" s="17">
        <v>2</v>
      </c>
      <c r="G75" t="n" s="17">
        <v>3</v>
      </c>
      <c r="H75" t="n" s="17">
        <v>1</v>
      </c>
      <c r="I75" t="n" s="18">
        <v>0</v>
      </c>
      <c r="J75" t="s">
        <v>22</v>
      </c>
      <c r="K75" t="n" s="17">
        <v>4</v>
      </c>
      <c r="L75" t="n" s="17">
        <v>3.54</v>
      </c>
      <c r="M75" t="n" s="16">
        <v>0</v>
      </c>
      <c r="N75" t="n" s="17">
        <v>0</v>
      </c>
      <c r="O75" t="n" s="17">
        <v>0</v>
      </c>
      <c r="P75" t="n" s="17">
        <v>0</v>
      </c>
      <c r="Q75" t="n" s="18">
        <v>0</v>
      </c>
      <c r="R75" t="n" s="16">
        <v>0</v>
      </c>
      <c r="S75" t="n" s="16">
        <v>0</v>
      </c>
      <c r="T75" t="n" s="16">
        <v>0</v>
      </c>
    </row>
    <row r="76" hidden="0" ht="15" customHeight="1" spans="1:1">
      <c r="A76" t="s">
        <v>23</v>
      </c>
      <c r="B76" t="str" s="15">
        <f>HYPERLINK("https://www.amazon.in/dp/B073F7XQ6X", "B073F7XQ6X")</f>
      </c>
      <c r="C76" t="str" s="15">
        <f>HYPERLINK("https://www.amazon.in/dp/GET IT C-Shaped Snoogle Pregnancy Pillow (Orange)", "GET IT C-Shaped Snoogle Pregnancy Pillow (Orange)")</f>
      </c>
      <c r="D76" t="n" s="16">
        <v>0</v>
      </c>
      <c r="E76" t="n" s="16">
        <v>0</v>
      </c>
      <c r="F76" t="n" s="17">
        <v>2</v>
      </c>
      <c r="G76" t="n" s="17">
        <v>3</v>
      </c>
      <c r="H76" t="n" s="17">
        <v>1</v>
      </c>
      <c r="I76" t="n" s="18">
        <v>0</v>
      </c>
      <c r="J76" t="s">
        <v>22</v>
      </c>
      <c r="K76" t="n" s="17">
        <v>5</v>
      </c>
      <c r="L76" t="n" s="17">
        <v>4.6</v>
      </c>
      <c r="M76" t="n" s="16">
        <v>0</v>
      </c>
      <c r="N76" t="n" s="17">
        <v>0</v>
      </c>
      <c r="O76" t="n" s="17">
        <v>0</v>
      </c>
      <c r="P76" t="n" s="17">
        <v>0</v>
      </c>
      <c r="Q76" t="n" s="18">
        <v>0</v>
      </c>
      <c r="R76" t="n" s="16">
        <v>0</v>
      </c>
      <c r="S76" t="n" s="16">
        <v>0</v>
      </c>
      <c r="T76" t="n" s="16">
        <v>0</v>
      </c>
    </row>
    <row r="77" hidden="0" ht="15" customHeight="1" spans="1:1">
      <c r="A77" t="s">
        <v>21</v>
      </c>
      <c r="B77" t="str" s="15">
        <f>HYPERLINK("https://www.amazon.in/dp/B07HX31W5P", "B07HX31W5P")</f>
      </c>
      <c r="C77" t="str" s="15">
        <f>HYPERLINK("https://www.amazon.in/dp/Get It Snoogle C Shape Pregnancy Pillow - Pink, Polymer Fiber (REDD)", "Get It Snoogle C Shape Pregnancy Pillow - Pink, Polymer Fiber (REDD)")</f>
      </c>
      <c r="D77" t="n" s="16">
        <v>0</v>
      </c>
      <c r="E77" t="n" s="16">
        <v>0</v>
      </c>
      <c r="F77" t="n" s="17">
        <v>1</v>
      </c>
      <c r="G77" t="n" s="17">
        <v>1</v>
      </c>
      <c r="H77" t="n" s="17">
        <v>1</v>
      </c>
      <c r="I77" t="n" s="18">
        <v>0</v>
      </c>
      <c r="J77" t="s">
        <v>22</v>
      </c>
      <c r="K77" t="n" s="17">
        <v>0</v>
      </c>
      <c r="L77" t="n" s="17">
        <v>0</v>
      </c>
      <c r="M77" t="n" s="16">
        <v>0</v>
      </c>
      <c r="N77" t="n" s="17">
        <v>0</v>
      </c>
      <c r="O77" t="n" s="17">
        <v>0</v>
      </c>
      <c r="P77" t="n" s="17">
        <v>0</v>
      </c>
      <c r="Q77" t="n" s="18">
        <v>0</v>
      </c>
      <c r="R77" t="n" s="16">
        <v>0</v>
      </c>
      <c r="S77" t="n" s="16">
        <v>0</v>
      </c>
      <c r="T77" t="n" s="16">
        <v>0</v>
      </c>
    </row>
    <row r="78" hidden="0" ht="15" customHeight="1" spans="1:1">
      <c r="A78" t="s">
        <v>23</v>
      </c>
      <c r="B78" t="str" s="15">
        <f>HYPERLINK("https://www.amazon.in/dp/B07NY3LW9C", "B07NY3LW9C")</f>
      </c>
      <c r="C78" t="str" s="15">
        <f>HYPERLINK("https://www.amazon.in/dp/GET IT Cotton 5-in-1 Feeding Pillow with Detachable Cover | New Born Portable Breast Feeding Pillow for Baby | Infant Support for Baby and Mom (Full Red)", "GET IT Cotton 5-in-1 Feeding Pillow with Detachable Cover | New Born Portable Breast Feeding Pillow for Baby | Infant Support for Baby and Mom (Full Red)")</f>
      </c>
      <c r="D78" t="n" s="16">
        <v>0</v>
      </c>
      <c r="E78" t="n" s="16">
        <v>0</v>
      </c>
      <c r="F78" t="n" s="17">
        <v>56</v>
      </c>
      <c r="G78" t="n" s="17">
        <v>59</v>
      </c>
      <c r="H78" t="n" s="17">
        <v>1</v>
      </c>
      <c r="I78" t="n" s="18">
        <v>0</v>
      </c>
      <c r="J78" t="s">
        <v>22</v>
      </c>
      <c r="K78" t="n" s="17">
        <v>4</v>
      </c>
      <c r="L78" t="n" s="17">
        <v>4.23</v>
      </c>
      <c r="M78" t="n" s="16">
        <v>0</v>
      </c>
      <c r="N78" t="n" s="17">
        <v>0</v>
      </c>
      <c r="O78" t="n" s="17">
        <v>0</v>
      </c>
      <c r="P78" t="n" s="17">
        <v>0</v>
      </c>
      <c r="Q78" t="n" s="18">
        <v>0</v>
      </c>
      <c r="R78" t="n" s="16">
        <v>0</v>
      </c>
      <c r="S78" t="n" s="16">
        <v>0</v>
      </c>
      <c r="T78" t="n" s="16">
        <v>0</v>
      </c>
    </row>
    <row r="79" hidden="0" ht="15" customHeight="1" spans="1:1">
      <c r="A79" t="s">
        <v>21</v>
      </c>
      <c r="B79" t="str" s="15">
        <f>HYPERLINK("https://www.amazon.in/dp/B0DG915VM4", "B0DG915VM4")</f>
      </c>
      <c r="C79" t="str" s="15">
        <f>HYPERLINK("https://www.amazon.in/dp/GET IT Breastfeeding Pillow Cotton 5-in-1 Feeding Pillow with Detachable Cover, New Born Portable Pillow for Baby and Mom -(Pink Heart)", "GET IT Breastfeeding Pillow Cotton 5-in-1 Feeding Pillow with Detachable Cover, New Born Portable Pillow for Baby and Mom -(Pink Heart)")</f>
      </c>
      <c r="D79" t="n" s="16">
        <v>0</v>
      </c>
      <c r="E79" t="n" s="16">
        <v>0</v>
      </c>
      <c r="F79" t="n" s="17">
        <v>1</v>
      </c>
      <c r="G79" t="n" s="17">
        <v>1</v>
      </c>
      <c r="H79" t="n" s="17">
        <v>1</v>
      </c>
      <c r="I79" t="n" s="18">
        <v>0</v>
      </c>
      <c r="J79" t="s">
        <v>22</v>
      </c>
      <c r="K79" t="n" s="17">
        <v>0</v>
      </c>
      <c r="L79" t="n" s="17">
        <v>0</v>
      </c>
      <c r="M79" t="n" s="16">
        <v>0</v>
      </c>
      <c r="N79" t="n" s="17">
        <v>0</v>
      </c>
      <c r="O79" t="n" s="17">
        <v>0</v>
      </c>
      <c r="P79" t="n" s="17">
        <v>0</v>
      </c>
      <c r="Q79" t="n" s="18">
        <v>0</v>
      </c>
      <c r="R79" t="n" s="16">
        <v>0</v>
      </c>
      <c r="S79" t="n" s="16">
        <v>0</v>
      </c>
      <c r="T79" t="n" s="16">
        <v>0</v>
      </c>
    </row>
    <row r="80" hidden="0" ht="15" customHeight="1" spans="1:1">
      <c r="A80" t="s">
        <v>23</v>
      </c>
      <c r="B80" t="str" s="15">
        <f>HYPERLINK("https://www.amazon.in/dp/B072KMS4HP", "B072KMS4HP")</f>
      </c>
      <c r="C80" t="str" s="15">
        <f>HYPERLINK("https://www.amazon.in/dp/Get It Baby Boy's And Girl's Cotton Nest Sleeping Bed (Red)", "Get It Baby Boy's And Girl's Cotton Nest Sleeping Bed (Red)")</f>
      </c>
      <c r="D80" t="n" s="16">
        <v>0</v>
      </c>
      <c r="E80" t="n" s="16">
        <v>0</v>
      </c>
      <c r="F80" t="n" s="17">
        <v>1</v>
      </c>
      <c r="G80" t="n" s="17">
        <v>1</v>
      </c>
      <c r="H80" t="n" s="17">
        <v>1</v>
      </c>
      <c r="I80" t="n" s="18">
        <v>0</v>
      </c>
      <c r="J80" t="s">
        <v>22</v>
      </c>
      <c r="K80" t="n" s="17">
        <v>5</v>
      </c>
      <c r="L80" t="n" s="17">
        <v>5</v>
      </c>
      <c r="M80" t="n" s="16">
        <v>0</v>
      </c>
      <c r="N80" t="n" s="17">
        <v>0</v>
      </c>
      <c r="O80" t="n" s="17">
        <v>0</v>
      </c>
      <c r="P80" t="n" s="17">
        <v>0</v>
      </c>
      <c r="Q80" t="n" s="18">
        <v>0</v>
      </c>
      <c r="R80" t="n" s="16">
        <v>0</v>
      </c>
      <c r="S80" t="n" s="16">
        <v>0</v>
      </c>
      <c r="T80" t="n" s="16">
        <v>0</v>
      </c>
    </row>
    <row r="81" hidden="0" ht="15" customHeight="1" spans="1:1">
      <c r="A81" t="s">
        <v>21</v>
      </c>
      <c r="B81" t="str" s="15">
        <f>HYPERLINK("https://www.amazon.in/dp/B0DG918VNJ", "B0DG918VNJ")</f>
      </c>
      <c r="C81" t="str" s="15">
        <f>HYPERLINK("https://www.amazon.in/dp/GET IT Wedge Orthopedic Pillow with Detachable Cover Acid Reflux Memory Foam Support Firm Pillow - P (Christmas Tree White, 20 X 22 X 10 Inches)", "GET IT Wedge Orthopedic Pillow with Detachable Cover Acid Reflux Memory Foam Support Firm Pillow - P (Christmas Tree White, 20 X 22 X 10 Inches)")</f>
      </c>
      <c r="D81" t="n" s="16">
        <v>0</v>
      </c>
      <c r="E81" t="n" s="16">
        <v>0</v>
      </c>
      <c r="F81" t="n" s="17">
        <v>1</v>
      </c>
      <c r="G81" t="n" s="17">
        <v>2</v>
      </c>
      <c r="H81" t="n" s="17">
        <v>1</v>
      </c>
      <c r="I81" t="n" s="18">
        <v>0</v>
      </c>
      <c r="J81" t="s">
        <v>22</v>
      </c>
      <c r="K81" t="n" s="17">
        <v>0</v>
      </c>
      <c r="L81" t="n" s="17">
        <v>0</v>
      </c>
      <c r="M81" t="n" s="16">
        <v>0</v>
      </c>
      <c r="N81" t="n" s="17">
        <v>0</v>
      </c>
      <c r="O81" t="n" s="17">
        <v>0</v>
      </c>
      <c r="P81" t="n" s="17">
        <v>0</v>
      </c>
      <c r="Q81" t="n" s="18">
        <v>0</v>
      </c>
      <c r="R81" t="n" s="16">
        <v>0</v>
      </c>
      <c r="S81" t="n" s="16">
        <v>0</v>
      </c>
      <c r="T81" t="n" s="16">
        <v>0</v>
      </c>
    </row>
    <row r="82" hidden="0" ht="15" customHeight="1" spans="1:1">
      <c r="A82" t="s">
        <v>21</v>
      </c>
      <c r="B82" t="str" s="15">
        <f>HYPERLINK("https://www.amazon.in/dp/B07NLFN31B", "B07NLFN31B")</f>
      </c>
      <c r="C82" t="str" s="15">
        <f>HYPERLINK("https://www.amazon.in/dp/GET IT Long Body Rectangular Microfiber Pillow (Purple, 20"x48" inches (i.e 50x120 Cms) [4 ft Long])", "GET IT Long Body Rectangular Microfiber Pillow (Purple, 20"x48" inches (i.e 50x120 Cms) [4 ft Long])")</f>
      </c>
      <c r="D82" t="n" s="16">
        <v>0</v>
      </c>
      <c r="E82" t="n" s="16">
        <v>0</v>
      </c>
      <c r="F82" t="n" s="17">
        <v>11</v>
      </c>
      <c r="G82" t="n" s="17">
        <v>14</v>
      </c>
      <c r="H82" t="n" s="17">
        <v>1</v>
      </c>
      <c r="I82" t="n" s="18">
        <v>0</v>
      </c>
      <c r="J82" t="s">
        <v>22</v>
      </c>
      <c r="K82" t="n" s="17">
        <v>5</v>
      </c>
      <c r="L82" t="n" s="17">
        <v>4.84</v>
      </c>
      <c r="M82" t="n" s="16">
        <v>0</v>
      </c>
      <c r="N82" t="n" s="17">
        <v>0</v>
      </c>
      <c r="O82" t="n" s="17">
        <v>0</v>
      </c>
      <c r="P82" t="n" s="17">
        <v>0</v>
      </c>
      <c r="Q82" t="n" s="18">
        <v>0</v>
      </c>
      <c r="R82" t="n" s="16">
        <v>0</v>
      </c>
      <c r="S82" t="n" s="16">
        <v>0</v>
      </c>
      <c r="T82" t="n" s="16">
        <v>0</v>
      </c>
    </row>
    <row r="83" hidden="0" ht="15" customHeight="1" spans="1:1">
      <c r="A83" t="s">
        <v>21</v>
      </c>
      <c r="B83" t="str" s="15">
        <f>HYPERLINK("https://www.amazon.in/dp/B07HWX99VV", "B07HWX99VV")</f>
      </c>
      <c r="C83" t="str" s="15">
        <f>HYPERLINK("https://www.amazon.in/dp/GET IT Feeding Pillow (Blue)", "GET IT Feeding Pillow (Blue)")</f>
      </c>
      <c r="D83" t="n" s="16">
        <v>0</v>
      </c>
      <c r="E83" t="n" s="16">
        <v>0</v>
      </c>
      <c r="F83" t="n" s="17">
        <v>10</v>
      </c>
      <c r="G83" t="n" s="17">
        <v>11</v>
      </c>
      <c r="H83" t="n" s="17">
        <v>1</v>
      </c>
      <c r="I83" t="n" s="18">
        <v>0</v>
      </c>
      <c r="J83" t="s">
        <v>22</v>
      </c>
      <c r="K83" t="n" s="17">
        <v>4</v>
      </c>
      <c r="L83" t="n" s="17">
        <v>3.57</v>
      </c>
      <c r="M83" t="n" s="16">
        <v>0</v>
      </c>
      <c r="N83" t="n" s="17">
        <v>0</v>
      </c>
      <c r="O83" t="n" s="17">
        <v>0</v>
      </c>
      <c r="P83" t="n" s="17">
        <v>0</v>
      </c>
      <c r="Q83" t="n" s="18">
        <v>0</v>
      </c>
      <c r="R83" t="n" s="16">
        <v>0</v>
      </c>
      <c r="S83" t="n" s="16">
        <v>0</v>
      </c>
      <c r="T83" t="n" s="16">
        <v>0</v>
      </c>
    </row>
    <row r="84" hidden="0" ht="15" customHeight="1" spans="1:1">
      <c r="A84" t="s">
        <v>21</v>
      </c>
      <c r="B84" t="str" s="15">
        <f>HYPERLINK("https://www.amazon.in/dp/B0DG918PYL", "B0DG918PYL")</f>
      </c>
      <c r="C84" t="str" s="15">
        <f>HYPERLINK("https://www.amazon.in/dp/GET IT Travel Pillow Premium Memory Foam, Comfortable &amp; Supportive Neck Pillow, Pain Relief Sleeping Neck Pillows for Travel, Airplane Pillow for Sleeping Airplane, Car, Office and Home", "GET IT Travel Pillow Premium Memory Foam, Comfortable &amp; Supportive Neck Pillow, Pain Relief Sleeping Neck Pillows for Travel, Airplane Pillow for Sleeping Airplane, Car, Office and Home")</f>
      </c>
      <c r="D84" t="n" s="16">
        <v>0</v>
      </c>
      <c r="E84" t="n" s="16">
        <v>0</v>
      </c>
      <c r="F84" t="n" s="17">
        <v>1</v>
      </c>
      <c r="G84" t="n" s="17">
        <v>1</v>
      </c>
      <c r="H84" t="n" s="17">
        <v>1</v>
      </c>
      <c r="I84" t="n" s="18">
        <v>0</v>
      </c>
      <c r="J84" t="s">
        <v>22</v>
      </c>
      <c r="K84" t="n" s="17">
        <v>0</v>
      </c>
      <c r="L84" t="n" s="17">
        <v>0</v>
      </c>
      <c r="M84" t="n" s="16">
        <v>0</v>
      </c>
      <c r="N84" t="n" s="17">
        <v>0</v>
      </c>
      <c r="O84" t="n" s="17">
        <v>0</v>
      </c>
      <c r="P84" t="n" s="17">
        <v>0</v>
      </c>
      <c r="Q84" t="n" s="18">
        <v>0</v>
      </c>
      <c r="R84" t="n" s="16">
        <v>0</v>
      </c>
      <c r="S84" t="n" s="16">
        <v>0</v>
      </c>
      <c r="T84" t="n" s="16">
        <v>0</v>
      </c>
    </row>
    <row r="85" hidden="0" ht="15" customHeight="1" spans="1:1">
      <c r="A85" t="s">
        <v>21</v>
      </c>
      <c r="B85" t="str" s="15">
        <f>HYPERLINK("https://www.amazon.in/dp/B0DG5SMSD9", "B0DG5SMSD9")</f>
      </c>
      <c r="C85" t="str" s="15">
        <f>HYPERLINK("https://www.amazon.in/dp/GET IT Model J Shape Pregnancy Pillow/Pregnant Women Full Body Relax Pillow/Maternity Pillow |Standard(Pink)", "GET IT Model J Shape Pregnancy Pillow/Pregnant Women Full Body Relax Pillow/Maternity Pillow |Standard(Pink)")</f>
      </c>
      <c r="D85" t="n" s="16">
        <v>0</v>
      </c>
      <c r="E85" t="n" s="16">
        <v>0</v>
      </c>
      <c r="F85" t="n" s="17">
        <v>1</v>
      </c>
      <c r="G85" t="n" s="17">
        <v>1</v>
      </c>
      <c r="H85" t="n" s="17">
        <v>1</v>
      </c>
      <c r="I85" t="n" s="18">
        <v>0</v>
      </c>
      <c r="J85" t="s">
        <v>22</v>
      </c>
      <c r="K85" t="n" s="17">
        <v>0</v>
      </c>
      <c r="L85" t="n" s="17">
        <v>0</v>
      </c>
      <c r="M85" t="n" s="16">
        <v>0</v>
      </c>
      <c r="N85" t="n" s="17">
        <v>0</v>
      </c>
      <c r="O85" t="n" s="17">
        <v>0</v>
      </c>
      <c r="P85" t="n" s="17">
        <v>0</v>
      </c>
      <c r="Q85" t="n" s="18">
        <v>0</v>
      </c>
      <c r="R85" t="n" s="16">
        <v>0</v>
      </c>
      <c r="S85" t="n" s="16">
        <v>0</v>
      </c>
      <c r="T85" t="n" s="16">
        <v>0</v>
      </c>
    </row>
    <row r="86" hidden="0" ht="15" customHeight="1" spans="1:1">
      <c r="A86" t="s">
        <v>21</v>
      </c>
      <c r="B86" t="str" s="15">
        <f>HYPERLINK("https://www.amazon.in/dp/B07P3JZXR9", "B07P3JZXR9")</f>
      </c>
      <c r="C86" t="str" s="15">
        <f>HYPERLINK("https://www.amazon.in/dp/GET IT Maternity Pilow | Pregnancy Pillow | Premium 3 in 1 Multi Usage as Breastfeeding | Dismantle Model | Back Pain | Leg pelivs Support | 6 Months Warranty (Grey Plain, Premium Extra Large)", "GET IT Maternity Pilow | Pregnancy Pillow | Premium 3 in 1 Multi Usage as Breastfeeding | Dismantle Model | Back Pain | Leg pelivs Support | 6 Months Warranty (Grey Plain, Premium Extra Large)")</f>
      </c>
      <c r="D86" t="n" s="16">
        <v>0</v>
      </c>
      <c r="E86" t="n" s="16">
        <v>0</v>
      </c>
      <c r="F86" t="n" s="17">
        <v>16</v>
      </c>
      <c r="G86" t="n" s="17">
        <v>17</v>
      </c>
      <c r="H86" t="n" s="17">
        <v>1</v>
      </c>
      <c r="I86" t="n" s="18">
        <v>0</v>
      </c>
      <c r="J86" t="s">
        <v>22</v>
      </c>
      <c r="K86" t="n" s="17">
        <v>3</v>
      </c>
      <c r="L86" t="n" s="17">
        <v>3.16</v>
      </c>
      <c r="M86" t="n" s="16">
        <v>0</v>
      </c>
      <c r="N86" t="n" s="17">
        <v>0</v>
      </c>
      <c r="O86" t="n" s="17">
        <v>0</v>
      </c>
      <c r="P86" t="n" s="17">
        <v>0</v>
      </c>
      <c r="Q86" t="n" s="18">
        <v>0</v>
      </c>
      <c r="R86" t="n" s="16">
        <v>0</v>
      </c>
      <c r="S86" t="n" s="16">
        <v>0</v>
      </c>
      <c r="T86" t="n" s="16">
        <v>0</v>
      </c>
    </row>
    <row r="87" hidden="0" ht="15" customHeight="1" spans="1:1">
      <c r="A87" t="s">
        <v>24</v>
      </c>
      <c r="B87" t="str" s="15">
        <f>HYPERLINK("https://www.amazon.in/dp/B07NJ947PN", "B07NJ947PN")</f>
      </c>
      <c r="C87" t="str" s="15">
        <f>HYPERLINK("https://www.amazon.in/dp/Get IT Nest Baby Sleeping Bed Premium (Extra Large 100% Cotton) (Standard, Cryan Blue)", "Get IT Nest Baby Sleeping Bed Premium (Extra Large 100% Cotton) (Standard, Cryan Blue)")</f>
      </c>
      <c r="D87" t="n" s="16">
        <v>0</v>
      </c>
      <c r="E87" t="n" s="16">
        <v>0</v>
      </c>
      <c r="F87" t="n" s="17">
        <v>9</v>
      </c>
      <c r="G87" t="n" s="17">
        <v>10</v>
      </c>
      <c r="H87" t="n" s="17">
        <v>1</v>
      </c>
      <c r="I87" t="n" s="18">
        <v>0</v>
      </c>
      <c r="J87" t="s">
        <v>22</v>
      </c>
      <c r="K87" t="n" s="17">
        <v>5</v>
      </c>
      <c r="L87" t="n" s="17">
        <v>5</v>
      </c>
      <c r="M87" t="n" s="16">
        <v>0</v>
      </c>
      <c r="N87" t="n" s="17">
        <v>0</v>
      </c>
      <c r="O87" t="n" s="17">
        <v>0</v>
      </c>
      <c r="P87" t="n" s="17">
        <v>0</v>
      </c>
      <c r="Q87" t="n" s="18">
        <v>0</v>
      </c>
      <c r="R87" t="n" s="16">
        <v>0</v>
      </c>
      <c r="S87" t="n" s="16">
        <v>0</v>
      </c>
      <c r="T87" t="n" s="16">
        <v>0</v>
      </c>
    </row>
    <row r="88" hidden="0" ht="15" customHeight="1" spans="1:1">
      <c r="A88" t="s">
        <v>21</v>
      </c>
      <c r="B88" t="str" s="15">
        <f>HYPERLINK("https://www.amazon.in/dp/B0DG92WXGM", "B0DG92WXGM")</f>
      </c>
      <c r="C88" t="str" s="15">
        <f>HYPERLINK("https://www.amazon.in/dp/GET IT Breastfeeding Foam Pillow Premium 2 in 1 Baby with Detachable Cover | Newborn Nursing Pillow with Zip Buckle Adjustment | Infant Support for Baby and Mom Breastfeeding- Mickey Blue Print", "GET IT Breastfeeding Foam Pillow Premium 2 in 1 Baby with Detachable Cover | Newborn Nursing Pillow with Zip Buckle Adjustment | Infant Support for Baby and Mom Breastfeeding- Mickey Blue Print")</f>
      </c>
      <c r="D88" t="n" s="16">
        <v>0</v>
      </c>
      <c r="E88" t="n" s="16">
        <v>0</v>
      </c>
      <c r="F88" t="n" s="17">
        <v>2</v>
      </c>
      <c r="G88" t="n" s="17">
        <v>4</v>
      </c>
      <c r="H88" t="n" s="17">
        <v>1</v>
      </c>
      <c r="I88" t="n" s="18">
        <v>0</v>
      </c>
      <c r="J88" t="s">
        <v>22</v>
      </c>
      <c r="K88" t="n" s="17">
        <v>0</v>
      </c>
      <c r="L88" t="n" s="17">
        <v>0</v>
      </c>
      <c r="M88" t="n" s="16">
        <v>0</v>
      </c>
      <c r="N88" t="n" s="17">
        <v>0</v>
      </c>
      <c r="O88" t="n" s="17">
        <v>0</v>
      </c>
      <c r="P88" t="n" s="17">
        <v>0</v>
      </c>
      <c r="Q88" t="n" s="18">
        <v>0</v>
      </c>
      <c r="R88" t="n" s="16">
        <v>0</v>
      </c>
      <c r="S88" t="n" s="16">
        <v>0</v>
      </c>
      <c r="T88" t="n" s="16">
        <v>0</v>
      </c>
    </row>
    <row r="89" hidden="0" ht="15" customHeight="1" spans="1:1">
      <c r="A89" t="s">
        <v>21</v>
      </c>
      <c r="B89" t="str" s="15">
        <f>HYPERLINK("https://www.amazon.in/dp/B07NLFYVQL", "B07NLFYVQL")</f>
      </c>
      <c r="C89" t="str" s="15">
        <f>HYPERLINK("https://www.amazon.in/dp/GET IT Long Body Rectangular Microfiber Pillow (Red, 20"x72" inches (i.e 50x180 Cms) [6 ft Long])", "GET IT Long Body Rectangular Microfiber Pillow (Red, 20"x72" inches (i.e 50x180 Cms) [6 ft Long])")</f>
      </c>
      <c r="D89" t="n" s="16">
        <v>0</v>
      </c>
      <c r="E89" t="n" s="16">
        <v>0</v>
      </c>
      <c r="F89" t="n" s="17">
        <v>8</v>
      </c>
      <c r="G89" t="n" s="17">
        <v>9</v>
      </c>
      <c r="H89" t="n" s="17">
        <v>1</v>
      </c>
      <c r="I89" t="n" s="18">
        <v>0</v>
      </c>
      <c r="J89" t="s">
        <v>22</v>
      </c>
      <c r="K89" t="n" s="17">
        <v>5</v>
      </c>
      <c r="L89" t="n" s="17">
        <v>4.84</v>
      </c>
      <c r="M89" t="n" s="16">
        <v>0</v>
      </c>
      <c r="N89" t="n" s="17">
        <v>0</v>
      </c>
      <c r="O89" t="n" s="17">
        <v>0</v>
      </c>
      <c r="P89" t="n" s="17">
        <v>0</v>
      </c>
      <c r="Q89" t="n" s="18">
        <v>0</v>
      </c>
      <c r="R89" t="n" s="16">
        <v>0</v>
      </c>
      <c r="S89" t="n" s="16">
        <v>0</v>
      </c>
      <c r="T89" t="n" s="16">
        <v>0</v>
      </c>
    </row>
    <row r="90" hidden="0" ht="15" customHeight="1" spans="1:1">
      <c r="A90" t="s">
        <v>23</v>
      </c>
      <c r="B90" t="str" s="15">
        <f>HYPERLINK("https://www.amazon.in/dp/B0D58K6BTN", "B0D58K6BTN")</f>
      </c>
      <c r="C90" t="str" s="15">
        <f>HYPERLINK("https://www.amazon.in/dp/GET IT Premium Breast Feeding Foam Pillow with Detachable Cover | Newborn Nursing |Zip Buckle Adjustment | Support Baby Mom | Upto 2 Years (Mickey White Round, Foam Extra Large, Polyurethane (PU))", "GET IT Premium Breast Feeding Foam Pillow with Detachable Cover | Newborn Nursing |Zip Buckle Adjustment | Support Baby Mom | Upto 2 Years (Mickey White Round, Foam Extra Large, Polyurethane (PU))")</f>
      </c>
      <c r="D90" t="n" s="16">
        <v>0</v>
      </c>
      <c r="E90" t="n" s="16">
        <v>0</v>
      </c>
      <c r="F90" t="n" s="17">
        <v>6</v>
      </c>
      <c r="G90" t="n" s="17">
        <v>6</v>
      </c>
      <c r="H90" t="n" s="17">
        <v>1</v>
      </c>
      <c r="I90" t="n" s="18">
        <v>0</v>
      </c>
      <c r="J90" t="s">
        <v>22</v>
      </c>
      <c r="K90" t="n" s="17">
        <v>4</v>
      </c>
      <c r="L90" t="n" s="17">
        <v>3.85</v>
      </c>
      <c r="M90" t="n" s="16">
        <v>0</v>
      </c>
      <c r="N90" t="n" s="17">
        <v>0</v>
      </c>
      <c r="O90" t="n" s="17">
        <v>0</v>
      </c>
      <c r="P90" t="n" s="17">
        <v>0</v>
      </c>
      <c r="Q90" t="n" s="18">
        <v>0</v>
      </c>
      <c r="R90" t="n" s="16">
        <v>0</v>
      </c>
      <c r="S90" t="n" s="16">
        <v>0</v>
      </c>
      <c r="T90" t="n" s="16">
        <v>0</v>
      </c>
    </row>
    <row r="91" hidden="0" ht="15" customHeight="1" spans="1:1">
      <c r="A91" t="s">
        <v>21</v>
      </c>
      <c r="B91" t="str" s="15">
        <f>HYPERLINK("https://www.amazon.in/dp/B07NLGBSH9", "B07NLGBSH9")</f>
      </c>
      <c r="C91" t="str" s="15">
        <f>HYPERLINK("https://www.amazon.in/dp/Get It Long Body Rectangular Microfiber Pillow (Cryan Blue, 20"x72" inches (i.e 50x180 Cms) [6 ft Long])", "Get It Long Body Rectangular Microfiber Pillow (Cryan Blue, 20"x72" inches (i.e 50x180 Cms) [6 ft Long])")</f>
      </c>
      <c r="D91" t="n" s="16">
        <v>0</v>
      </c>
      <c r="E91" t="n" s="16">
        <v>0</v>
      </c>
      <c r="F91" t="n" s="17">
        <v>11</v>
      </c>
      <c r="G91" t="n" s="17">
        <v>15</v>
      </c>
      <c r="H91" t="n" s="17">
        <v>1</v>
      </c>
      <c r="I91" t="n" s="18">
        <v>0</v>
      </c>
      <c r="J91" t="s">
        <v>22</v>
      </c>
      <c r="K91" t="n" s="17">
        <v>5</v>
      </c>
      <c r="L91" t="n" s="17">
        <v>4.84</v>
      </c>
      <c r="M91" t="n" s="16">
        <v>0</v>
      </c>
      <c r="N91" t="n" s="17">
        <v>0</v>
      </c>
      <c r="O91" t="n" s="17">
        <v>0</v>
      </c>
      <c r="P91" t="n" s="17">
        <v>0</v>
      </c>
      <c r="Q91" t="n" s="18">
        <v>0</v>
      </c>
      <c r="R91" t="n" s="16">
        <v>0</v>
      </c>
      <c r="S91" t="n" s="16">
        <v>0</v>
      </c>
      <c r="T91" t="n" s="16">
        <v>0</v>
      </c>
    </row>
    <row r="92" hidden="0" ht="15" customHeight="1" spans="1:1">
      <c r="A92" t="s">
        <v>21</v>
      </c>
      <c r="B92" t="str" s="15">
        <f>HYPERLINK("https://www.amazon.in/dp/B07NLF1PDY", "B07NLF1PDY")</f>
      </c>
      <c r="C92" t="str" s="15">
        <f>HYPERLINK("https://www.amazon.in/dp/GET IT Long Body Rectangular Microfiber Pillow (Pink, 20"x60" inches (i.e 50x150 Cms) [5 ft Long])", "GET IT Long Body Rectangular Microfiber Pillow (Pink, 20"x60" inches (i.e 50x150 Cms) [5 ft Long])")</f>
      </c>
      <c r="D92" t="n" s="16">
        <v>0</v>
      </c>
      <c r="E92" t="n" s="16">
        <v>1379.05</v>
      </c>
      <c r="F92" t="n" s="17">
        <v>39</v>
      </c>
      <c r="G92" t="n" s="17">
        <v>49</v>
      </c>
      <c r="H92" t="n" s="17">
        <v>1</v>
      </c>
      <c r="I92" t="n" s="18">
        <v>0</v>
      </c>
      <c r="J92" t="s">
        <v>22</v>
      </c>
      <c r="K92" t="n" s="17">
        <v>5</v>
      </c>
      <c r="L92" t="n" s="17">
        <v>4.84</v>
      </c>
      <c r="M92" t="n" s="16">
        <v>0</v>
      </c>
      <c r="N92" t="n" s="17">
        <v>0</v>
      </c>
      <c r="O92" t="n" s="17">
        <v>0</v>
      </c>
      <c r="P92" t="n" s="17">
        <v>0</v>
      </c>
      <c r="Q92" t="n" s="18">
        <v>0</v>
      </c>
      <c r="R92" t="n" s="16">
        <v>0</v>
      </c>
      <c r="S92" t="n" s="16">
        <v>0</v>
      </c>
      <c r="T92" t="n" s="16">
        <v>0</v>
      </c>
    </row>
    <row r="93" hidden="0" ht="15" customHeight="1" spans="1:1">
      <c r="A93" t="s">
        <v>23</v>
      </c>
      <c r="B93" t="str" s="15">
        <f>HYPERLINK("https://www.amazon.in/dp/B07HWT71T3", "B07HWT71T3")</f>
      </c>
      <c r="C93" t="str" s="15">
        <f>HYPERLINK("https://www.amazon.in/dp/GET IT Premium Breast Feeding Foam Pillow with Detachable Cover | Newborn Nursing |Zip Buckle Adjustment | Support Baby Mom | Upto 2 Years (Pink with OffWhite, Foam Extra Large, Polyurethane (PU))", "GET IT Premium Breast Feeding Foam Pillow with Detachable Cover | Newborn Nursing |Zip Buckle Adjustment | Support Baby Mom | Upto 2 Years (Pink with OffWhite, Foam Extra Large, Polyurethane (PU))")</f>
      </c>
      <c r="D93" t="n" s="16">
        <v>0</v>
      </c>
      <c r="E93" t="n" s="16">
        <v>0</v>
      </c>
      <c r="F93" t="n" s="17">
        <v>9</v>
      </c>
      <c r="G93" t="n" s="17">
        <v>10</v>
      </c>
      <c r="H93" t="n" s="17">
        <v>1</v>
      </c>
      <c r="I93" t="n" s="18">
        <v>0</v>
      </c>
      <c r="J93" t="s">
        <v>22</v>
      </c>
      <c r="K93" t="n" s="17">
        <v>4</v>
      </c>
      <c r="L93" t="n" s="17">
        <v>3.85</v>
      </c>
      <c r="M93" t="n" s="16">
        <v>0</v>
      </c>
      <c r="N93" t="n" s="17">
        <v>0</v>
      </c>
      <c r="O93" t="n" s="17">
        <v>0</v>
      </c>
      <c r="P93" t="n" s="17">
        <v>0</v>
      </c>
      <c r="Q93" t="n" s="18">
        <v>0</v>
      </c>
      <c r="R93" t="n" s="16">
        <v>0</v>
      </c>
      <c r="S93" t="n" s="16">
        <v>0</v>
      </c>
      <c r="T93" t="n" s="16">
        <v>0</v>
      </c>
    </row>
  </sheetData>
  <pageMargins bottom="0.75" footer="0.3" header="0.3" left="0.7" right="0.7" top="0.7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Amazon Seller Central - Custom Analytics</dc:creator>
  <dc:title>Workbook</dc:title>
  <dcterms:created xsi:type="dcterms:W3CDTF">2026-02-22T12:44:51.317Z</dcterms:created>
  <dcterms:modified xsi:type="dcterms:W3CDTF">2026-02-22T12:44:51.317Z</dcterms:modified>
</cp:coreProperties>
</file>